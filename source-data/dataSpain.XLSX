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defaultThemeVersion="124226"/>
  <mc:AlternateContent xmlns:mc="http://schemas.openxmlformats.org/markup-compatibility/2006">
    <mc:Choice Requires="x15">
      <x15ac:absPath xmlns:x15ac="http://schemas.microsoft.com/office/spreadsheetml/2010/11/ac" url="C:\Users\vandeloc\Documents\Documents\CoS\Pilot - PortugalSpain data transform\Github - Data transformation\source-data\"/>
    </mc:Choice>
  </mc:AlternateContent>
  <bookViews>
    <workbookView xWindow="-30" yWindow="0" windowWidth="23715" windowHeight="10035" activeTab="3"/>
  </bookViews>
  <sheets>
    <sheet name="SDG Proposal" sheetId="1" r:id="rId1"/>
    <sheet name="ES-PT Proposal" sheetId="2" r:id="rId2"/>
    <sheet name="ES_PS-es" sheetId="3" r:id="rId3"/>
    <sheet name="ES_PS-en" sheetId="4" r:id="rId4"/>
  </sheets>
  <calcPr calcId="145621"/>
</workbook>
</file>

<file path=xl/calcChain.xml><?xml version="1.0" encoding="utf-8"?>
<calcChain xmlns="http://schemas.openxmlformats.org/spreadsheetml/2006/main">
  <c r="A28" i="3" l="1"/>
  <c r="C32" i="4"/>
  <c r="C31" i="4"/>
  <c r="C30" i="4"/>
  <c r="C29" i="4"/>
  <c r="C28" i="4"/>
  <c r="C27" i="4"/>
  <c r="C26" i="4"/>
  <c r="C25" i="4"/>
  <c r="C24" i="4"/>
  <c r="C23" i="4"/>
  <c r="C22" i="4"/>
  <c r="C21" i="4"/>
  <c r="C20" i="4"/>
  <c r="A32" i="4"/>
  <c r="A31" i="4"/>
  <c r="A30" i="4"/>
  <c r="A29" i="4"/>
  <c r="A28" i="4"/>
  <c r="A27" i="4"/>
  <c r="A26" i="4"/>
  <c r="A25" i="4"/>
  <c r="A24" i="4"/>
  <c r="A23" i="4"/>
  <c r="A22" i="4"/>
  <c r="A21" i="4"/>
  <c r="A20" i="4"/>
  <c r="A32" i="3"/>
  <c r="A31" i="3"/>
  <c r="A30" i="3"/>
  <c r="A29" i="3"/>
  <c r="A27" i="3"/>
  <c r="A26" i="3"/>
  <c r="A25" i="3"/>
  <c r="A24" i="3"/>
  <c r="A23" i="3"/>
  <c r="A22" i="3"/>
  <c r="A21" i="3"/>
  <c r="A20" i="3"/>
  <c r="C19" i="4" l="1"/>
  <c r="C18" i="4"/>
  <c r="C17" i="4"/>
  <c r="C16" i="4"/>
  <c r="C15" i="4"/>
  <c r="C14" i="4"/>
  <c r="C13" i="4"/>
  <c r="C12" i="4"/>
  <c r="C11" i="4"/>
  <c r="C10" i="4"/>
  <c r="C9" i="4"/>
  <c r="C8" i="4"/>
  <c r="C7" i="4"/>
  <c r="C6" i="4"/>
  <c r="C5" i="4"/>
  <c r="C4" i="4"/>
  <c r="C3" i="4"/>
  <c r="A19" i="4"/>
  <c r="A18" i="4"/>
  <c r="A17" i="4"/>
  <c r="A16" i="4"/>
  <c r="A15" i="4"/>
  <c r="A14" i="4"/>
  <c r="A13" i="4"/>
  <c r="A12" i="4"/>
  <c r="A11" i="4"/>
  <c r="A10" i="4"/>
  <c r="A9" i="4"/>
  <c r="A8" i="4"/>
  <c r="A7" i="4"/>
  <c r="A6" i="4"/>
  <c r="A5" i="4"/>
  <c r="A4" i="4"/>
  <c r="A3" i="4"/>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I1" i="2"/>
  <c r="A19" i="3"/>
  <c r="A18" i="3"/>
  <c r="A17" i="3"/>
  <c r="A16" i="3"/>
  <c r="A15" i="3"/>
  <c r="A14" i="3"/>
  <c r="A13" i="3"/>
  <c r="A12" i="3"/>
  <c r="A11" i="3"/>
  <c r="A10" i="3"/>
  <c r="A9" i="3"/>
  <c r="A8" i="3"/>
  <c r="A7" i="3"/>
  <c r="A6" i="3"/>
  <c r="A5" i="3"/>
  <c r="A4" i="3"/>
  <c r="A3" i="3"/>
  <c r="A3" i="2" l="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alcChain>
</file>

<file path=xl/comments1.xml><?xml version="1.0" encoding="utf-8"?>
<comments xmlns="http://schemas.openxmlformats.org/spreadsheetml/2006/main">
  <authors>
    <author>ANA ROSA GUZMAN CARBONELL</author>
  </authors>
  <commentList>
    <comment ref="K3" authorId="0" shapeId="0">
      <text>
        <r>
          <rPr>
            <b/>
            <sz val="9"/>
            <color indexed="81"/>
            <rFont val="Tahoma"/>
            <charset val="1"/>
          </rPr>
          <t>ANA ROSA GUZMAN CARBONELL:</t>
        </r>
        <r>
          <rPr>
            <sz val="9"/>
            <color indexed="81"/>
            <rFont val="Tahoma"/>
            <charset val="1"/>
          </rPr>
          <t xml:space="preserve">
According to the Spanish Law 39/2015 of Common Administrative Procedure, every juridical person is oblied to use electronic means for its relationship with the Public Administration; natural persons can choose between traditional or electronic means. So when a public procedure aimed to natural persons has an electronic channel, this does not mean that there is no traditional channel</t>
        </r>
      </text>
    </comment>
    <comment ref="M3" authorId="0" shapeId="0">
      <text>
        <r>
          <rPr>
            <b/>
            <sz val="9"/>
            <color indexed="81"/>
            <rFont val="Tahoma"/>
            <family val="2"/>
          </rPr>
          <t>ANA ROSA GUZMAN CARBONELL:</t>
        </r>
        <r>
          <rPr>
            <sz val="9"/>
            <color indexed="81"/>
            <rFont val="Tahoma"/>
            <family val="2"/>
          </rPr>
          <t xml:space="preserve">
I've been able to see that life and business events use to involve several public procedures and services in certain order and with some inter-dependencies. In some cases, like having a child o buying a house, our web portal offers a guide to explain all of this. However, I'm concern by the complexity of such issues, which cannot be represented by CPSV-AP but I think they are essential for explaining to citizens how to proceed when these events happen</t>
        </r>
      </text>
    </comment>
    <comment ref="P3" authorId="0" shapeId="0">
      <text>
        <r>
          <rPr>
            <b/>
            <sz val="9"/>
            <color indexed="81"/>
            <rFont val="Tahoma"/>
            <charset val="1"/>
          </rPr>
          <t>ANA ROSA GUZMAN CARBONELL:</t>
        </r>
        <r>
          <rPr>
            <sz val="9"/>
            <color indexed="81"/>
            <rFont val="Tahoma"/>
            <charset val="1"/>
          </rPr>
          <t xml:space="preserve">
This info is not mandatory in our system but it is relevant for the electronic channel. However,I don't see how to represent it with the CPSV-AP terms.</t>
        </r>
      </text>
    </comment>
    <comment ref="G6" authorId="0" shapeId="0">
      <text>
        <r>
          <rPr>
            <b/>
            <sz val="9"/>
            <color indexed="81"/>
            <rFont val="Tahoma"/>
            <charset val="1"/>
          </rPr>
          <t>ANA ROSA GUZMAN CARBONELL:</t>
        </r>
        <r>
          <rPr>
            <sz val="9"/>
            <color indexed="81"/>
            <rFont val="Tahoma"/>
            <charset val="1"/>
          </rPr>
          <t xml:space="preserve">
Our system allows several thematic areas for one public service</t>
        </r>
      </text>
    </comment>
    <comment ref="I8" authorId="0" shapeId="0">
      <text>
        <r>
          <rPr>
            <b/>
            <sz val="9"/>
            <color indexed="81"/>
            <rFont val="Tahoma"/>
            <charset val="1"/>
          </rPr>
          <t>ANA ROSA GUZMAN CARBONELL:</t>
        </r>
        <r>
          <rPr>
            <sz val="9"/>
            <color indexed="81"/>
            <rFont val="Tahoma"/>
            <charset val="1"/>
          </rPr>
          <t xml:space="preserve">
Spanish Municipalities are not included in any MDR  Authority List because they are +8.000 and they have quite frequent changes. However, this attribute is mandatory.</t>
        </r>
      </text>
    </comment>
    <comment ref="I21" authorId="0" shapeId="0">
      <text>
        <r>
          <rPr>
            <b/>
            <sz val="9"/>
            <color indexed="81"/>
            <rFont val="Tahoma"/>
            <charset val="1"/>
          </rPr>
          <t>ANA ROSA GUZMAN CARBONELL:</t>
        </r>
        <r>
          <rPr>
            <sz val="9"/>
            <color indexed="81"/>
            <rFont val="Tahoma"/>
            <charset val="1"/>
          </rPr>
          <t xml:space="preserve">
I don't know how to associate an Administrative Territorial Unit to Universities</t>
        </r>
      </text>
    </comment>
  </commentList>
</comments>
</file>

<file path=xl/sharedStrings.xml><?xml version="1.0" encoding="utf-8"?>
<sst xmlns="http://schemas.openxmlformats.org/spreadsheetml/2006/main" count="825" uniqueCount="450">
  <si>
    <t>Life Event</t>
  </si>
  <si>
    <t>Nº Seq</t>
  </si>
  <si>
    <t>Procedure</t>
  </si>
  <si>
    <t>Expected output subject to an assessment of the application by the competent authority in accordance with their national law, where relevant</t>
  </si>
  <si>
    <t>Birth</t>
  </si>
  <si>
    <t xml:space="preserve">Requesting proof of registration of birth </t>
  </si>
  <si>
    <t xml:space="preserve">Proof of registration of birth or birth certificate </t>
  </si>
  <si>
    <t>Residence</t>
  </si>
  <si>
    <t xml:space="preserve">Requesting proof of residence </t>
  </si>
  <si>
    <t xml:space="preserve">Confirmation of registration at the current address </t>
  </si>
  <si>
    <t>Studying</t>
  </si>
  <si>
    <t xml:space="preserve">Applying for a tertiary education study financing, such as study grants and loans from a public body or institution </t>
  </si>
  <si>
    <t xml:space="preserve">Decision on the application for financing or acknowledgement of receipt </t>
  </si>
  <si>
    <t>Submiting an initial application for admission in public higher education institution</t>
  </si>
  <si>
    <t>Confirmation of the receipt of application</t>
  </si>
  <si>
    <t>Working</t>
  </si>
  <si>
    <t xml:space="preserve">Request for determination of applicable legislation in accordance with Title II of Regulation (EC) No 883/200429 </t>
  </si>
  <si>
    <t>Decision on applicable legislation</t>
  </si>
  <si>
    <t xml:space="preserve">Notifying changes in personal or professional circumstances of the person receiving socialsecurity benefits, relevant for such benefits </t>
  </si>
  <si>
    <t xml:space="preserve">Confirmation of receipt of notification of change </t>
  </si>
  <si>
    <t xml:space="preserve">Application for European Health Insurance Card (EHIC) </t>
  </si>
  <si>
    <t xml:space="preserve">European Health Insurance Card (EHIC) </t>
  </si>
  <si>
    <t xml:space="preserve">Requesting academic recognition of diplomas, certificates or other proof of studies or courses </t>
  </si>
  <si>
    <t xml:space="preserve">Decision on the request for recognition </t>
  </si>
  <si>
    <t xml:space="preserve">Submitting an income tax declaration </t>
  </si>
  <si>
    <t xml:space="preserve">Confirmation of the receipt of the declaration </t>
  </si>
  <si>
    <t>Moving</t>
  </si>
  <si>
    <t xml:space="preserve">Registering a change of address </t>
  </si>
  <si>
    <t xml:space="preserve">Confirmation of the deregistration at the previous address and of the registration of the new address </t>
  </si>
  <si>
    <t xml:space="preserve">Registering a motor vehicle originating from or already registered in an EU Member State, in standard procedures30 </t>
  </si>
  <si>
    <t xml:space="preserve">Proof of registration of a motor vehicle </t>
  </si>
  <si>
    <t xml:space="preserve">Obtaining stickers for the use of the national road infrastructure: toll or vignette issued by a public body or institution </t>
  </si>
  <si>
    <t xml:space="preserve">Receipt of toll sticker or vignette or other proof of payment </t>
  </si>
  <si>
    <t xml:space="preserve">Obtaining emission stickers issued by a public body or institution </t>
  </si>
  <si>
    <t xml:space="preserve">Receipt of emission sticker or other proof of payment </t>
  </si>
  <si>
    <t>Retiring</t>
  </si>
  <si>
    <t xml:space="preserve">Claiming pension and pre-retirement benefits from compulsory schemes </t>
  </si>
  <si>
    <t xml:space="preserve">Confirmation of the receipt of the claim or decision regarding the claim for a pension or pre-retirement benefits </t>
  </si>
  <si>
    <t xml:space="preserve">Requesting information on the data related to pension from compulsory schemes </t>
  </si>
  <si>
    <t xml:space="preserve">Statement of personal pension data </t>
  </si>
  <si>
    <t>Starting a business</t>
  </si>
  <si>
    <t xml:space="preserve">Notification of business activity, permissions of business activity, changes of business activity and the termination of a business activity not involving insolvency or liquidation procedures, excluding the initial registration of a business activity with the business register and excluding procedures concerning the constitution of or any subsequent filing by companies or firms within the meaning of the second paragraph of Article 54 TFEU </t>
  </si>
  <si>
    <t xml:space="preserve">Confirmation of the receipt of notification or change, or of the request for permission of business activity </t>
  </si>
  <si>
    <t xml:space="preserve">Registration of an employer (a natural person) with compulsory pension and insurance schemes </t>
  </si>
  <si>
    <t xml:space="preserve">Confirmation of registration or social security registration number </t>
  </si>
  <si>
    <t xml:space="preserve">Registration of employees with compulsory pension and insurance schemes </t>
  </si>
  <si>
    <t xml:space="preserve">Submitting a corporate tax declaration </t>
  </si>
  <si>
    <t>Doing business</t>
  </si>
  <si>
    <t xml:space="preserve">Notification to the social security schemes of the end of contract with an employee, excluding procedures for the collective termination of employee contracts </t>
  </si>
  <si>
    <t xml:space="preserve">Confirmation of the receipt of the notification </t>
  </si>
  <si>
    <t xml:space="preserve">Payment of social contributions for employees </t>
  </si>
  <si>
    <t xml:space="preserve">Receipt or other form of confirmation of payment of social contributions for employees </t>
  </si>
  <si>
    <t>ES Service</t>
  </si>
  <si>
    <t>Bithday Certificate</t>
  </si>
  <si>
    <t>Comments</t>
  </si>
  <si>
    <t>Residence Certificate for Europeans</t>
  </si>
  <si>
    <t>Studing</t>
  </si>
  <si>
    <t>Study aids to produce doctoral thesis</t>
  </si>
  <si>
    <t>Nº Seq SDG</t>
  </si>
  <si>
    <t>Application for Grade or Master studies in Granada University</t>
  </si>
  <si>
    <t>Homologation of university degrees and recognition of qualifications</t>
  </si>
  <si>
    <t>Application for European Health Insurance Card</t>
  </si>
  <si>
    <t>Modification of data about pension</t>
  </si>
  <si>
    <t>SDG Life Event</t>
  </si>
  <si>
    <t>Communication of change of address</t>
  </si>
  <si>
    <t>Claiming retirement pension</t>
  </si>
  <si>
    <t>Starting B.</t>
  </si>
  <si>
    <t xml:space="preserve">Authorization request for operating Fish Farms or Aquaculture Facilities </t>
  </si>
  <si>
    <t>ES: Andalucía Autonomous Region</t>
  </si>
  <si>
    <t>Authorization of commercial license to large commercial establishments and shopping centers.</t>
  </si>
  <si>
    <t>ES: Canarias Autonomous Region</t>
  </si>
  <si>
    <t xml:space="preserve">Registry for startup of a guesthouse activity </t>
  </si>
  <si>
    <t>ES: Baleares Autonomous Region</t>
  </si>
  <si>
    <t>Communication of cessation of activity of a non-hotel tourist accommodation establishment</t>
  </si>
  <si>
    <t>ES: Cantabria Autonomous Region</t>
  </si>
  <si>
    <t>Declaration of prices and services of tourist accommodation</t>
  </si>
  <si>
    <t>ES: Cataluña Autonomous Region</t>
  </si>
  <si>
    <t>Doing B.</t>
  </si>
  <si>
    <t>Registration of workers in the General Scheme</t>
  </si>
  <si>
    <t>Withdrawal of workers in the General Scheme</t>
  </si>
  <si>
    <t>Employer registration in Social Security with tax account code</t>
  </si>
  <si>
    <t>Payment of social security contributions for workers in the General Scheme</t>
  </si>
  <si>
    <t>Submmition of Corporate Tax (Model 200)</t>
  </si>
  <si>
    <t>Start of activity of catering facility</t>
  </si>
  <si>
    <t>ES: Madrid Autonomous Region</t>
  </si>
  <si>
    <t>Register of Real Estate Agents of Catalonia</t>
  </si>
  <si>
    <t>Import, export, manufacturing of non-registered medicines</t>
  </si>
  <si>
    <t>Clearance sales communication</t>
  </si>
  <si>
    <t>ES: Castilla la Mancha Autonomous Region</t>
  </si>
  <si>
    <t>Registration in the Special Register of Repair Shops for motor vehicles and their equipment and components</t>
  </si>
  <si>
    <t>ES: La Rioja Autonomous Region</t>
  </si>
  <si>
    <t>Registration in the Official Register of tanning centers</t>
  </si>
  <si>
    <t>ES: Extremadura Autonomous Region</t>
  </si>
  <si>
    <t>Sanitary authorization for tattoo and piercing establishments</t>
  </si>
  <si>
    <t>ES: Murcia Autonomous Region</t>
  </si>
  <si>
    <t>Business licence for arcade establishment</t>
  </si>
  <si>
    <t>ES: Aragón Autonomous Region</t>
  </si>
  <si>
    <t>Business licence for large retail trade establishment</t>
  </si>
  <si>
    <t xml:space="preserve">Change of activity in business premises </t>
  </si>
  <si>
    <t>Service Id.</t>
  </si>
  <si>
    <t>CES:SRV:000000041</t>
  </si>
  <si>
    <t>Pedir a certidão de nascimento</t>
  </si>
  <si>
    <t>Nome serviço</t>
  </si>
  <si>
    <t>CES:SRV:000001775</t>
  </si>
  <si>
    <t>Pedir o certificado de residência permanente para cidadão da UE/EEE/Suíça</t>
  </si>
  <si>
    <t>-</t>
  </si>
  <si>
    <t>Obter informações sobre a pensão social de velhice</t>
  </si>
  <si>
    <t>CES:SRV:000000867</t>
  </si>
  <si>
    <t>Alterar a morada no Cartão de Cidadão</t>
  </si>
  <si>
    <t>CES:SRV:000000462</t>
  </si>
  <si>
    <t>CES:SRV:000001543</t>
  </si>
  <si>
    <t>Pedir o Cartão Europeu de Seguro de Doença da Segurança Social</t>
  </si>
  <si>
    <t>Feirante ou vendedor ambulante - acesso à atividade</t>
  </si>
  <si>
    <t>CES:SRV:000002460</t>
  </si>
  <si>
    <t>Comércio a retalho em grande superfície comercial inserida em conjunto comercial - exploração de estabelecimento</t>
  </si>
  <si>
    <t>CES:SRV:000002276</t>
  </si>
  <si>
    <t>CES:SRV:000002072</t>
  </si>
  <si>
    <t>Alojamento local - registo da atividade</t>
  </si>
  <si>
    <t>Alojamento local - cessação da atividade</t>
  </si>
  <si>
    <t>CES:SRV:000002071</t>
  </si>
  <si>
    <t>CES:SRV:000002668</t>
  </si>
  <si>
    <t>Mediação imobiliária - licença para o exercício da atividade</t>
  </si>
  <si>
    <t>CES:SRV:000002953</t>
  </si>
  <si>
    <t>Realização de saldos - comunicação</t>
  </si>
  <si>
    <t>CES:SRV:000002637</t>
  </si>
  <si>
    <t>Manutenção e reparação de veículos automóveis, motociclos e ciclomotores - exploração de oficina</t>
  </si>
  <si>
    <t>Centro de bronzeamento artificial – exploração de estabelecimento</t>
  </si>
  <si>
    <t>CES:SRV:000002210</t>
  </si>
  <si>
    <t>CES:SRV:000002857</t>
  </si>
  <si>
    <t>Piercings e tatuagens - exploração de estabelecimento</t>
  </si>
  <si>
    <t>Restauração e bebidas - exploração de estabelecimento</t>
  </si>
  <si>
    <t>CES:SRV:000003002</t>
  </si>
  <si>
    <t>YES</t>
  </si>
  <si>
    <t>NO</t>
  </si>
  <si>
    <t>PORTUGUESE CATALOGUE</t>
  </si>
  <si>
    <t>PORTUGUESE CATALOGUE ID</t>
  </si>
  <si>
    <t xml:space="preserve">CES:SRV:000004747 </t>
  </si>
  <si>
    <t>Aquicultura - título de atividade aquícola - águas marinhas</t>
  </si>
  <si>
    <t>Identifier</t>
  </si>
  <si>
    <t>Name</t>
  </si>
  <si>
    <t>Description</t>
  </si>
  <si>
    <t>Keyword</t>
  </si>
  <si>
    <t>Language</t>
  </si>
  <si>
    <t>Nº in Proposal</t>
  </si>
  <si>
    <t>ESP</t>
  </si>
  <si>
    <t>Ministerio de Justicia</t>
  </si>
  <si>
    <t>El certificado de nacimiento es el documento expedido por el Encargado del Registro Civil o Consular correspondiente, que da fe del hecho del nacimiento, fecha en que tuvo lugar, del sexo, y en su caso, de la hora en que se produjo el nacimiento y de la filiación del inscrito.
Asímismo, podrán expedirse certificaciones electrónicas de nacimiento con sello electrónico de la  Dirección General de los Registros y del Notariado a partir de los datos contenidos en la base central de datos de las personas inscritas en los Registros Civiles.
¿Cómo?
Entra en la Sede Electrónica del Ministerio de Justicia(Abre en nueva ventana) y accede al Certificado de nacimiento. 
Puedes elegir entre recibir el certificado por correo ordinario al domicilio indicado en la solicitud o recogerlo en el Registro Civil correspondiente siempre que lo hayas indicado expresamente. En este caso será el propio Registro Civil el que te indicará a partir de qué fecha podrás recogerlo.</t>
  </si>
  <si>
    <t>Certificado de nacimiento</t>
  </si>
  <si>
    <t>Channel</t>
  </si>
  <si>
    <t>Thematic Area</t>
  </si>
  <si>
    <t>Justicia</t>
  </si>
  <si>
    <t>Public Service</t>
  </si>
  <si>
    <t>Public Organization</t>
  </si>
  <si>
    <t>Preferred Label</t>
  </si>
  <si>
    <t>Spatial Code</t>
  </si>
  <si>
    <t>Type</t>
  </si>
  <si>
    <t>Tramitación Electrónica</t>
  </si>
  <si>
    <t>http://www.mjusticia.gob.es/cs/Satellite/Portal/es/servicios-ciudadano/tramites-gestiones-personales/certificadocertificacion</t>
  </si>
  <si>
    <t>eId Systems</t>
  </si>
  <si>
    <t>Certificado electrónico, DNI electrónico,Otros</t>
  </si>
  <si>
    <t>Event</t>
  </si>
  <si>
    <t>Id.</t>
  </si>
  <si>
    <t>Class</t>
  </si>
  <si>
    <t>http://administracion.gob.es/pagFront/tramites/miVidaEnTramites/listadoHechosVitales/previsualizacionHechoVital.htm?idHechoVital=21</t>
  </si>
  <si>
    <t>Tener un hijo</t>
  </si>
  <si>
    <t>Other</t>
  </si>
  <si>
    <t>Certificado de residente</t>
  </si>
  <si>
    <t>Acreditar ante otros organismos periodos de residencia legal en España (se admite Registro Electrónico del Cuerpo Nacional de Policía ÚNICAMENTE para ciudadanos de Estados miembros de la Unión Europea, del Espacio Económico Europeo, Suiza y Principado de Andorra)</t>
  </si>
  <si>
    <t>Ministerio del Interior</t>
  </si>
  <si>
    <t>https://sede.policia.gob.es/portalCiudadano/extranjeria/pr_cer_residen.html</t>
  </si>
  <si>
    <t>Ciudadanía y nacionalidad</t>
  </si>
  <si>
    <t>Certificado electrónico</t>
  </si>
  <si>
    <t xml:space="preserve"> nacimiento, certificado, ministerio de justicia, encargado del registro civil, consular, dirección general de los registros, notariado, registros civiles, sede electrónica del ministerio de justicia, registro civil </t>
  </si>
  <si>
    <t xml:space="preserve"> residente, certificado, españa, registro electrónico del cuerpo nacional de policía únicamente, estados, unión europea, espacio económico europeo, suiza, principado de andorra </t>
  </si>
  <si>
    <t>Mutualidad General de Funcionarios Civiles del Estado (MUFACE)</t>
  </si>
  <si>
    <t>https://sede.muface.gob.es</t>
  </si>
  <si>
    <t>Solicitud Tarjeta Sanitaria Europea</t>
  </si>
  <si>
    <t>Solicitud de la Tarjeta Sanitaria Europea (TSE). La TSE es el documento que acredita el derecho a acceder a los servicios públicos de salud durante las estancias temporales en los Estado Miembro de la Unión Europea, Espacio Económico Europeo y Suiza, en las mismas condiciones y con la misma extensión que los ciudadanos del país que esté visitando.Esta tarjeta es personal e intransferible.La TSE tendrá una vigencia de dos años tanto para los mutualistas como para los beneficiarios</t>
  </si>
  <si>
    <t xml:space="preserve"> solicitud tarjeta sanitaria europea, la tarjeta sanitaria europea, tse, estado miembro de la unión europea, espacio económico europeo, suiza </t>
  </si>
  <si>
    <t>Salud</t>
  </si>
  <si>
    <t>Usuario y contraseña, Certificado electrónico,DNI electrónico</t>
  </si>
  <si>
    <t>Servicio de Comunicación del Cambio de Domicilio</t>
  </si>
  <si>
    <t>Este servicio permite que el ciudadano, una vez realizado el empadronamiento, pueda comunicar a distintos organismos de la Administración General del Estado, como Dirección General de Tráfico, Agencia Tributaria, Dirección General de la Policía y Seguridad Social entre otros, su cambio de domicilio sin tener que ir presencialmente a cada uno de ellos.</t>
  </si>
  <si>
    <t xml:space="preserve">servicio de comunicación del cambio de domicilio, administración general del estado, dirección general de tráfico, agencia tributaria, dirección general de la policía, seguridad social </t>
  </si>
  <si>
    <t>http://administracion.gob.es/pagFront/tramites/miVidaEnTramites/listadoHechosVitales/previsualizacionHechoVital.htm?idHechoVital=103</t>
  </si>
  <si>
    <t>Comprar una vivienda</t>
  </si>
  <si>
    <t>S.Gral. de Administración Digital</t>
  </si>
  <si>
    <t>https://cambiodomicilio.redsara.es/pcd/</t>
  </si>
  <si>
    <t>Certificado electrónico, DNI electrónico</t>
  </si>
  <si>
    <t>Pensión de jubilación</t>
  </si>
  <si>
    <t>Accede a este servicio para solicitar la prestación económica de jubilación</t>
  </si>
  <si>
    <t xml:space="preserve">jubilación, pensión </t>
  </si>
  <si>
    <t>Pensiones</t>
  </si>
  <si>
    <t>Instituto Nacional de la Seguridad Social</t>
  </si>
  <si>
    <t>https://sede.seg-social.gob.es/Sede_1/ServiciosenLinea/Ciudadanos/index.htm?ssUserText=131145</t>
  </si>
  <si>
    <t>Instalación de un puesto para el ejercicio de la venta no sedentaria en Mercados ocasionales instalados sobre el dominio público municipal</t>
  </si>
  <si>
    <t>Descarga de formulario</t>
  </si>
  <si>
    <t>* Relaciones del ciudadano, empresa o empleado público con la Administración
* Participación e iniciativa ciudadana</t>
  </si>
  <si>
    <t>N/A</t>
  </si>
  <si>
    <t>ES: City council  of Madrid</t>
  </si>
  <si>
    <t>Instalación de situados para ejercer la venta ambulante</t>
  </si>
  <si>
    <t>Ayuntamiento de Madrid</t>
  </si>
  <si>
    <t>Medio ambiente</t>
  </si>
  <si>
    <t>https://sede.madrid.es/portal/site/tramites/menuitem.1f3361415fda829be152e15284f1a5a0/?vgnextoid=59628af352bed010VgnVCM1000000b205a0aRCRD&amp;vgnextchannel=f47ea38813180210VgnVCM100000c90da8c0RCRD</t>
  </si>
  <si>
    <t>Descarga y envío</t>
  </si>
  <si>
    <t xml:space="preserve"> situados, instalación, ejercer, venta, ambulante </t>
  </si>
  <si>
    <t>La venta podrá realizarse en mercadillos periódicos u ocasionales, mercadillos de régimen singular, mercadillos sectoriales y enclaves aislados en la vía pública durante los periodos que señale cada autorización.</t>
  </si>
  <si>
    <t>Puesta en Funcionamiento de Piscifactorías o Instalaciones de Acuicultura: Autorización</t>
  </si>
  <si>
    <t>Junta de Andalucía</t>
  </si>
  <si>
    <t>Obtener la autorización para la puesta en funcionamiento de piscifactorías o instalaciones de acuicultura continental con una capacidad inferior a las 500 toneladas. Está autorización debe de entenderse sin perjuicio de la concesión que deba obtenerse de la Administración Hidráulica (Agencia Andaluza del Agua o Confederación Hidrográfica del Guadalquivir). Si la instalación tiene una capacidad superior a las 500 toneladas se encuentra sometida a AAU (apartado 9.9 del Anexo I de la GICA). Las competencias en materia de acuicultura marina y de control zoosanitario corresponden a la Consejería competente en materia de agricultura y pesca.</t>
  </si>
  <si>
    <t xml:space="preserve"> puesta, funcionamiento de piscifactorías, instalaciones de acuicultura, autorización, administración hidráulica, agencia andaluza del agua, confederación hidrográfica del guadalquivir, aau, anexo i de la gica, consejería </t>
  </si>
  <si>
    <t>http://www.juntadeandalucia.es/haciendayadministracionpublica/ciudadania/web/guest/procedimientos</t>
  </si>
  <si>
    <t>ESP_CMA_ANDAL</t>
  </si>
  <si>
    <t>Autorización de licencia comercial a grandes establecimientos comerciales y centros comerciales</t>
  </si>
  <si>
    <t>https://sede.gobcan.es/sede/tramites/2715</t>
  </si>
  <si>
    <t>Comunidad Autónoma de Canarias</t>
  </si>
  <si>
    <t xml:space="preserve"> licencia, autorización, comercial, grandes, establecimientos, comerciales, centros </t>
  </si>
  <si>
    <t>Autorizar la concesión de la licencia comercial para la instalación y apertura, ampliación de superficie útil de exposición y venta, el traslado o cambio de actividad a grandes establecimientos comerciales y centros comerciales.</t>
  </si>
  <si>
    <t>Consumo</t>
  </si>
  <si>
    <t>ESP_CMA_CANAR</t>
  </si>
  <si>
    <t>Inscripción de inicio de actividad de establecimiento de alojamiento de hospedería</t>
  </si>
  <si>
    <t>Inscripción en el Registro General de Empresas, Actividades y Establecimientos Turísticos de las Illes Balears y en el Insular de Mallorca, de los establecimientos de alojamiento de hospedería que desarrollan su actividad en la isla de Mallorca.En el resto de islas, los órganos competentes serán los respectivos Consejos Insulares.Son establecimientos que forman parte de una iglesia, capilla o santuario y que destinan algunas de sus dependencias al servicio de alojamiento al público en general.Quedan excluidos de esta consideración los establecimientos de titularidad de las Administraciones Públicas o de entidades privadas el uso del cual este reservado a grupos de personas que deban cumplir determinados requisitos, como la pertenencia a una orden religiosa o similar y, en consecuencia, no se ofrece al público en general.Los titulares de la hospedería pueden tener un régimen de admisión y unas normas de comportamiento adecuados a los estatutos de su orden religiosa, que en todo caso se deberán poner en conocimiento de los posibles huéspedes de manera explícita antes de la contratación</t>
  </si>
  <si>
    <t xml:space="preserve"> inicio, inscripción, actividad, establecimiento, alojamiento, hospedería, registro general de empresas, actividades, establecimientos turísticos de las illes balears, insular de mallorca </t>
  </si>
  <si>
    <t>Turismo, ocio y tiempo libre</t>
  </si>
  <si>
    <t>Gobierno de las Islas Baleares</t>
  </si>
  <si>
    <t>ESP_CMA_BALEAR</t>
  </si>
  <si>
    <t>https://www.caib.es/seucaib/es/tramites/tramite/2432054</t>
  </si>
  <si>
    <t>Comunicación de cese de actividad de un establecimiento de alojamiento turístico extrahotelero</t>
  </si>
  <si>
    <t>Presidencia del Gobierno de Cantabria</t>
  </si>
  <si>
    <t>ESP_PR_CANTAB</t>
  </si>
  <si>
    <t>Comunicar a la Consejería competente en materia de turismo el cese de actividad de un establecimiento de alojamiento turístico extrahotelero.</t>
  </si>
  <si>
    <t xml:space="preserve"> cese, comunicación, actividad, establecimiento, alojamiento, turístico, extrahotelero, consejería </t>
  </si>
  <si>
    <t>https://www.cantabria.es/tramites-web?codigo=IND-X-017</t>
  </si>
  <si>
    <t>Inicio de Actividad de Establecimientos de Restauración</t>
  </si>
  <si>
    <t>Declaración responsable para el inicio de la actividad de los establecimientos turísticos de restauración en sus diversas modalidades (Restaurante, Cafeterías, Bares, Catering), así como sus posteriores modificaciones (cambios de titular, ceses de actividad, etc.)</t>
  </si>
  <si>
    <t xml:space="preserve">inicio de actividad de establecimientos de restauración, restaurante, cafeterías, bares, catering </t>
  </si>
  <si>
    <t>* Turismo, ocio y tiempo libre
* Empresas</t>
  </si>
  <si>
    <t>Comunidad de Madrid</t>
  </si>
  <si>
    <t>ESP_CMA_MAD</t>
  </si>
  <si>
    <t xml:space="preserve">http://www.madrid.org/cs/Satellite?c=CM_Tramite_FA&amp;cid=1142598088068&amp;noMostrarML=true&amp;pageid=1331802501637&amp;pagename=PortalCiudadano%2FCM_Tramite_FA%2FPCIU_fichaTramite&amp;vest=1331802501621 </t>
  </si>
  <si>
    <t>Registro de Agentes Inmobiliarios de Cataluña</t>
  </si>
  <si>
    <t>El Registro de Agentes Inmobiliarios de Cataluña es público, tiene naturaleza administrativa y es de carácter obligatorio.
La inscripción:
    Otorga la condición de agente inmobiliario homologado i da el derecho de hacer pública esta condición.
    Permite acreditar que la persona que figura en el Registro reúne los requisitos y condiciones adecuados para ejercer la actividad.
Son agentes inmobiliarios las personas físicas o jurídicas que se dedican de manera habitual y retribuida a prestar servicios de mediación, asesoramiento y gestión en transacciones inmobiliarias con relación a operaciones de compraventa, alquiler, permuta o cesión de bienes inmuebles y los derechos correspondientes, incluyendo la constitución de estos derechos (artículo 55 de la Ley 18/2007, de 28 de diciembre, del derecho a la vivienda).
La finalidad de este Registro es favorecer la transparencia en el sector de la vivienda y garantizar la protección de los consumidores. Garantiza a la ciudadania que el agente inmobiliario se encuentra con capacitat para dar un servicio eficiente y de calidad, ya que certifica que tiene una formación académica pertinente, experiencia en el ámbito en el que se desenvuelve y solvencia económica.</t>
  </si>
  <si>
    <t>Generalitat de Catalunya</t>
  </si>
  <si>
    <t>ESP_CMA_CATAL</t>
  </si>
  <si>
    <t>http://web.gencat.cat/redirect?uuid=ce209f4d-4060-11e4-81bd-cb94a8f4b18c&amp;category=747fd95a-a82c-11e3-a972-000c29052e2c&amp;idioma=es</t>
  </si>
  <si>
    <t>Vivienda y Urbanismo</t>
  </si>
  <si>
    <t xml:space="preserve">registro de agentes inmobiliarios de cataluña, obligatorio, registro, ley </t>
  </si>
  <si>
    <t>COMUNICACION VENTAS EN LIQUIDACION</t>
  </si>
  <si>
    <t>Comunidad Autónoma de Castilla-La Mancha</t>
  </si>
  <si>
    <t>ESP_CMA_CASTMANCHA</t>
  </si>
  <si>
    <t>http://www.jccm.es/sede/tramite/JPU</t>
  </si>
  <si>
    <t>* Comunicación
* Economía, Comercio y Patrimonio de las Administraciones Públicas</t>
  </si>
  <si>
    <t>Tramitar la comunicación de venta en liquidación</t>
  </si>
  <si>
    <t>comunicacion ventas en liquidacion</t>
  </si>
  <si>
    <t>Inscripción en el Registro especial de talleres de reparación de vehículos automóviles y de sus equipos y componentes</t>
  </si>
  <si>
    <t>Gobierno de La Rioja</t>
  </si>
  <si>
    <t>ESP_CMA_RIJ</t>
  </si>
  <si>
    <t>http://www.larioja.org/oficina-electronica/es?web=000&amp;proc=06608</t>
  </si>
  <si>
    <t>Energía e industria</t>
  </si>
  <si>
    <t xml:space="preserve">inscripción, registro, talleres, reparación, vehículos, automóviles, equipos, componentes, registro de talleres de reparación de automóviles </t>
  </si>
  <si>
    <t>Inscripción en el Registro de Talleres de Reparación de Automóviles a todos los talleres cuya actividad sea la de reparación tanto de vehículos como de piezas de los mismos.</t>
  </si>
  <si>
    <t>INSCRIPCIÓN REGISTRO OFICIAL DE CENTROS DE BRONCEADO DE LA COMUNIDAD AUTÓNOMA DE EXTREMADURA</t>
  </si>
  <si>
    <t>Inscripción de los establecimientos en los que se manipulen aparatos de bronceado mediante radiaciones ultravioletas.</t>
  </si>
  <si>
    <t>inscripción registro oficial de centros de bronceado de la comunidad autónoma de extremadura</t>
  </si>
  <si>
    <t>Junta de Extremadura</t>
  </si>
  <si>
    <t>ESP_CMA_EXTRAMA</t>
  </si>
  <si>
    <t xml:space="preserve">https://ciudadano.gobex.es/buscador-de-tramites/-/tramite/ficha/5613 </t>
  </si>
  <si>
    <t>Autorización sanitaria de los establecimientos de tatuaje y piercing de la Región de Murcia</t>
  </si>
  <si>
    <t>Regular en el ámbito territorial de la Región de Murcia los requisitos técnicos y condiciones sanitarias aplicables a los establecimientos no sanitarios donde se realizan prácticas de tatuaje, piercing u otros de naturaleza similar, con la finalidad de proteger la salud de los usuarios y de los trabajadores que las realizan</t>
  </si>
  <si>
    <t xml:space="preserve"> sanitaria, autorización, establecimientos, tatuaje, piercing, región de murcia </t>
  </si>
  <si>
    <t>Región de Murcia</t>
  </si>
  <si>
    <t>ESP_CMA_MURCIA</t>
  </si>
  <si>
    <t>http://www.carm.es/web/pagina?IDCONTENIDO=915&amp;IDTIPO=240&amp;RASTRO=c672$m2469</t>
  </si>
  <si>
    <t>Solicitud de licencia de Gran Establecimiento Comercial Minorista</t>
  </si>
  <si>
    <t>Concesión de la licencia comercial para que establecimientos comerciales preexistentes puedan convertirse en grandes establecimientos comerciales, entendiéndose como tales aquellos que superen determinada superficie.</t>
  </si>
  <si>
    <t xml:space="preserve">licencia, solicitud, gran establecimiento comercial minorista </t>
  </si>
  <si>
    <t xml:space="preserve">http://www.larioja.org/oficina-electronica/es?web=000&amp;proc=06681 </t>
  </si>
  <si>
    <t>Empresas</t>
  </si>
  <si>
    <t>ES-PT Proposal</t>
  </si>
  <si>
    <t>birth, certificate, ministry of justice, civil registrar, consular, general directorate of registries, notarized, civil registries, electronic office of the Ministry of Justice, civil registry</t>
  </si>
  <si>
    <t>Ministry of Justice</t>
  </si>
  <si>
    <t>Justice</t>
  </si>
  <si>
    <t>Health</t>
  </si>
  <si>
    <t>Business</t>
  </si>
  <si>
    <t>Energy and Industry</t>
  </si>
  <si>
    <t>Housing and Urban Development</t>
  </si>
  <si>
    <t>Citizenship and Nationality</t>
  </si>
  <si>
    <t>Pensions</t>
  </si>
  <si>
    <t>Environment</t>
  </si>
  <si>
    <t>Consumption</t>
  </si>
  <si>
    <t>* Communication 
* Economy, Commerce and Patrimony of the Public Administrations</t>
  </si>
  <si>
    <t>Tourism, Leisure and Free time</t>
  </si>
  <si>
    <t>* Tourism, Leisure and Free time
* Business</t>
  </si>
  <si>
    <t>* Relations between the citizen, company or public employee and the Administration
* Citizen participation and initiatives</t>
  </si>
  <si>
    <t>Having a child</t>
  </si>
  <si>
    <t>Buying a house</t>
  </si>
  <si>
    <t>Electronic processing</t>
  </si>
  <si>
    <t>Download and submittion</t>
  </si>
  <si>
    <t>Downloadable form</t>
  </si>
  <si>
    <t>Guide to administratives procedures when you have a child</t>
  </si>
  <si>
    <t>Guide to administratives procedures when you buy a house</t>
  </si>
  <si>
    <t>Electronic Certificate, Electronic National ID (DNIe), Others</t>
  </si>
  <si>
    <t>Electronic Certificate</t>
  </si>
  <si>
    <t>User and password, Electronic Certificate, Electronic National ID (DNIe)</t>
  </si>
  <si>
    <t>Electronic Certificate, Electronic National ID (DNIe)</t>
  </si>
  <si>
    <t>- no spatial code -</t>
  </si>
  <si>
    <t>Guia de trámites para comprar una vivienda</t>
  </si>
  <si>
    <t>Guia de trámites para tener un hijo</t>
  </si>
  <si>
    <t>Evidence of periods of legal residence in Spain for other bodies (Electronic Register of the National Police Body is ONLY admitted for citizens of Member States of the European Union, the European Economic Area, Switzerland and the Principality of Andorra)</t>
  </si>
  <si>
    <t>resident, certified, spain, electronic record of the national police body only, states, european union, european economic space, switzerland, principality of andorra</t>
  </si>
  <si>
    <t>Application for the European Health Card (EHC). The EHC is the document that accredits the right to access public health services during temporary stays in the Member States of the European Union, European Economic Area and Switzerland, under the same conditions and to the same extent as the citizens of the country you are visiting.This card is personal and non-transferable. The EHC will be valid for two years for both members and beneficiaries</t>
  </si>
  <si>
    <t>socialization, european health card, ehc, member state of the european union, european economic space, switzerland</t>
  </si>
  <si>
    <t>This service allows citizens, after their registration, to communicate their change of address to different bodies of the General State Administration, such as the General Directorate of Traffic, the Tax Agency, the General Directorate of the Police and Social Security, among others, without have to go in person to each of them.</t>
  </si>
  <si>
    <t>communication service of change of address, general state administration, general directorate of traffic,  tax agency,  general directorate of the police, social security</t>
  </si>
  <si>
    <t>Access this service to request  retirement economic benefit</t>
  </si>
  <si>
    <t>retirement, pension</t>
  </si>
  <si>
    <t>The sale can be made in periodic or occasional markets, markets of singular regime, sectorial markets and isolated enclaves in the public road during the periods indicated by each authorization.</t>
  </si>
  <si>
    <t>located, installation, exercise, sale, ambulant</t>
  </si>
  <si>
    <t>Obtain the authorization for the start-up of fish farms or continental aquaculture facilities with a capacity of less than 500 tons. This authorization must be understood without prejudice to the concession that must be obtained from the Hydraulic Administration (Andalusian Water Agency or Guadalquivir Hydrographic Confederation). If the installation has a capacity greater than 500 tons, it is subject to AAU (section 9.9 of Annex I of the GICA). Competences in marine aquaculture and animal health control correspond to the Ministry responsible for agriculture and fisheries.</t>
  </si>
  <si>
    <t>implementation, operation of fish farms, aquaculture facilities, authorization, hydraulic administration, Andalusian water agency, Guadalquivir hydrographic confederation, aau, Annex I of the Gica, counseling</t>
  </si>
  <si>
    <t>Authorize the granting of commercial license for the installation and opening, extension of usable space for exhibition and sale, transfer or change of activity to large retailers and shopping centers.</t>
  </si>
  <si>
    <t>license, authorization, commercial, large, establishments, centers</t>
  </si>
  <si>
    <t>Registration in the General Register of Companies, Activities and Tourist Establishments of the Balearic Islands and in the Insular of Mallorca, of inn lodging establishments  that develop their activity in the island of Mallorca. In the rest of the islands, the competent organs will be the respective Insular Councils. They are establishments that are part of a church, chapel or sanctuary allocating some of their dependencies to the accommodation service to the general public. The establishments owned by Public Administrations or private entities are excluded from this consideration where its use is reserved to groups of people who must meet certain requirements, such as belonging to a religious order or similar and, consequently, is not offered to the public in general. The holders of the hostel may have an admission regime and behavior standards according to the statutes of their religious order, which must be explicitly notified to potential guests  before hiring</t>
  </si>
  <si>
    <t>start, registration, activity, establishment, lodging, guesthouse, general register of companies, activities, tourist establishments of the Illes Balears, insular de Mallorca</t>
  </si>
  <si>
    <t>Communicate the cessation of activity of a non-hotel tourist accommodation establishment to the Tourim Council.</t>
  </si>
  <si>
    <t>cessation, communication, activity, establishment, accommodation, tourism, non-hotel, council</t>
  </si>
  <si>
    <t>Declaration of responsability for the start of the activity of tourist catering establishments in its various modalities (Restaurant, Cafeterias, Bars, Catering), as well as its subsequent modifications (changes of owner, cessation of activity, etc.)</t>
  </si>
  <si>
    <t>Start of activity of catering establishments, restaurant, cafeterias, bars</t>
  </si>
  <si>
    <t>"The Register of Real Estate Agents of Catalonia is public, has administrative nature and is mandatory.
The inscription:
    It grants the status of accredited real estate agent and gives the right to disclose this condition to the public.
    It allows to prove that the person that appears in the Registry meets the requirements and adequate conditions to carry out the activity.
Real estate agents are natural or legal persons who regularly provide professional services of mediation, advice and management in transactions of sale, rental, exchange or transfer of real estates and the corresponding rights, including the constitution of these rights (article 55 of Law 18/2007, of December 28, of the right to housing).
The purpose of this Registry is to promote transparency in the real estate sector and to guarantee consumer protection. It guarantees citizens that the real estate agent is able to provide an efficient and quality service, as it certifies that he has a relevant academic background, experience in the field and economic solvency. "</t>
  </si>
  <si>
    <t>Catalan real estate agent registry, mandatory, registration, law</t>
  </si>
  <si>
    <t>Processing clearance sale communication</t>
  </si>
  <si>
    <t>clearance sale communication</t>
  </si>
  <si>
    <t>registration, workshops, repair, vehicles, automobiles, equipment, components, registration of car repair shops</t>
  </si>
  <si>
    <t>Registration in the Registry of Car Repair Shops for all workshops whose activity is the repair of both vehicles and parts thereof.</t>
  </si>
  <si>
    <t>Registration of establishments in which tanning devices are handled by ultraviolet radiation.</t>
  </si>
  <si>
    <t>inscription registration of tanning centers of the Autonomous Community of Extremadura</t>
  </si>
  <si>
    <t xml:space="preserve">Regulate in the territorial area of the Region of Murcia the technical requirements and sanitary conditions applicable to non-sanitary establishments where tattooing, piercing or other similar practices are carried out, in order to protect the health of their users and workers </t>
  </si>
  <si>
    <t>sanitary, authorization, establishments, tattoo, piercing, region of murcia</t>
  </si>
  <si>
    <t>license, application, large retail store</t>
  </si>
  <si>
    <t>Commercial license granting to allow pre-existing commercial establishments become large commercial establishments, understanding as such those that exceed certain surface.</t>
  </si>
  <si>
    <t>Ayudas para la realización de tesis doctorales</t>
  </si>
  <si>
    <t>Subvenciones destinadas a la formación del personal investigador dentro de programas oficiales de doctorado en Canarias (Modalidad A)</t>
  </si>
  <si>
    <t xml:space="preserve"> ayudas, realización, tesis, doctorales, canarias, modalidad </t>
  </si>
  <si>
    <t xml:space="preserve">Tecnología, Investigación e Innovación </t>
  </si>
  <si>
    <t>https://sede.gobcan.es/sede/tramites/4349</t>
  </si>
  <si>
    <t>Tramitación electrónica</t>
  </si>
  <si>
    <t>Matrícula- Automatrícula de Grado y Máster</t>
  </si>
  <si>
    <t>Universidad de Granada</t>
  </si>
  <si>
    <t>Acto por el que se inicia o se renueva anualmente la relación jurídica del estudiante con la Universidad en unos determinados estudios conducentes a la obtención de un título con validez en todo el territorio nacional.</t>
  </si>
  <si>
    <t xml:space="preserve">matrícula- automatrícula de grado, máster, universidad </t>
  </si>
  <si>
    <t>Educación y formación</t>
  </si>
  <si>
    <t>http://ugr.es</t>
  </si>
  <si>
    <t>Homologación de títulos universitarios y reconocimiento de cualificaciones</t>
  </si>
  <si>
    <t>A través de este procedimiento se puede solicitar la equivalencia de títulos  de educación superior otorgados por instituciones extranjeras a titulación y a nivel académico de Grado o Máster universitarios oficiales en ramas de conocimiento y campos específicos. También permite la consulta del estado de su  tramitación, tras cumplimentar la solicitud y presentarla en un registro oficial.</t>
  </si>
  <si>
    <t xml:space="preserve">títulos, homologación, universitarios, reconocimiento, cualificaciones, grado, máster </t>
  </si>
  <si>
    <t xml:space="preserve"> Ministerio de Educacion, Cultura y Deporte </t>
  </si>
  <si>
    <t xml:space="preserve">http://www.mecd.gob.es/servicios-al-ciudadano-mecd/catalogo/general/educacion/202057.html </t>
  </si>
  <si>
    <t>Modificación de datos de pensiones</t>
  </si>
  <si>
    <t>Poner en conocimiento de la Dirección General de Costes de Personal y Pensiones Públicas la variación de datos que tengan trascendencia en el cobro de la pensión o pensiones: estado civil, otras pensiones públicas, trabajo activo, opción entre pensiones incompatibles, etc.</t>
  </si>
  <si>
    <t xml:space="preserve">datos, modificación, pensiones, dirección general de costes de personal, pensiones públicas </t>
  </si>
  <si>
    <t>Servicios Sociales e Igualdad</t>
  </si>
  <si>
    <t>Ministerio de Hacienda y Función Pública</t>
  </si>
  <si>
    <t>https://clasespasivas.gob.es/sitios/sedeclasespasivas/es-ES/solicitudElectronicaPrestaciones/Paginas/Registra.aspx</t>
  </si>
  <si>
    <t>Certificado electrónico, Cl@ve PIN,DNI electrónico</t>
  </si>
  <si>
    <t>DNI electrónico, Usuario y contraseña,Cl@ve PIN</t>
  </si>
  <si>
    <t>Importación, exportación, fabricación de medicamentos no registrados</t>
  </si>
  <si>
    <t xml:space="preserve">importación, exportación, fabricación, medicamentos, registrados </t>
  </si>
  <si>
    <t>Agencia Española de Medicamentos y Productos Sanitarios</t>
  </si>
  <si>
    <t>* Obras Públicas, tráfico y transportes
* Salud
* Empresas</t>
  </si>
  <si>
    <t>https://sede.msssi.gob.es/ciudadanos/procAdministrativos.do?tipo=detallar&amp;cod=997046</t>
  </si>
  <si>
    <t xml:space="preserve"> Usuario y contraseña, Certificado electrónico,DNI electrónico</t>
  </si>
  <si>
    <t>Cambio de actividad de local comercial</t>
  </si>
  <si>
    <t>Procedimiento de autorización de la solicitud del cambio de negocio a otro distinto del que se viniera ejerciendo en el local.</t>
  </si>
  <si>
    <t xml:space="preserve">actividad, cambio, local, comercial </t>
  </si>
  <si>
    <t xml:space="preserve">http://www.madrid.org/cs/Satellite?c=CM_Tramite_FA&amp;cid=1142564112542&amp;definicion=Autorizacion+Licencia+Permiso+Carne&amp;idConsejeria=1109266187248&amp;idListConsj=1109265444710&amp;idOrganismo=1109266227580&amp;language=es&amp;pagename=ComunidadMadrid%2FEstructura&amp;sm=1109265843990&amp;tipoServicio=CM_Tramite_FA </t>
  </si>
  <si>
    <t>Declaración de precios y servicios de los alojamientos turísticos</t>
  </si>
  <si>
    <t>Las personas titulares de los establecimientos de alojamiento turístico, tienen que declarar los servicios que ofrecen, así como los precios orientativos del establecimiento.
Estos datos se publican en la Guía oficial de Establecimientos Turísticos a fin de garantizar la publicidad.</t>
  </si>
  <si>
    <t xml:space="preserve"> precios, declaración, servicios, alojamientos, turísticos, guía, establecimientos turísticos </t>
  </si>
  <si>
    <t>http://web.gencat.cat/redirect?uuid=1377781b-4e89-11e4-8b57-3598f89ae6fa&amp;category=772cf82a-a82c-11e3-a972-000c29052e2c&amp;idioma=es</t>
  </si>
  <si>
    <t>AUTORIZACIÓN DE FUNCIONAMIENTO DE SALÓN RECREATIVO O DE JUEGO</t>
  </si>
  <si>
    <t>Concesión de la autorización de funcionamiento para los locales que quieran funcionar como Salones Recreativos o Salones de Juego</t>
  </si>
  <si>
    <t>Gobierno de Aragón</t>
  </si>
  <si>
    <t xml:space="preserve">autorización de funcionamiento de salón recreativo o de juego, salones recreativos, salones de juego </t>
  </si>
  <si>
    <t>ESP_CMA_ARAGON</t>
  </si>
  <si>
    <t>https://gobierno.aragon.es/portal/site/GobiernoAragon/menuitem.bc635f27d1b850777f4dbc1754a051ca?vgnextoid=b0390eb4bb58b210VgnVCM100000450a15acRCRD&amp;idTramite=1017</t>
  </si>
  <si>
    <t>Inscripción y asignación Código Cuenta Cotización (CCC)</t>
  </si>
  <si>
    <t>Inscribir al empresario en la Seguridad Social mediante asignación del primer código cuenta cotización (CCC) o asignación de CCC secundarios a empresarios ya inscritos.</t>
  </si>
  <si>
    <t xml:space="preserve">inscripción, asignación, código cuenta cotización, ccc, seguridad social </t>
  </si>
  <si>
    <t>Empleo y Seguridad social</t>
  </si>
  <si>
    <t>Ministerio de Empleo y Seguridad Social</t>
  </si>
  <si>
    <t>http://run.gob.es/yglfmk</t>
  </si>
  <si>
    <t>Certificado electrónico, DNI electrónico,Cl@ve permanente</t>
  </si>
  <si>
    <t>Alta de trabajadores en el Régimen General</t>
  </si>
  <si>
    <t>Comunicación del inicio de prestación de servicios de trabajadores por cuenta ajena en el Régimen General de Seguridad Social</t>
  </si>
  <si>
    <t xml:space="preserve">trabajadores, régimen general, régimen general de seguridad social </t>
  </si>
  <si>
    <t>http://www.seg-social.es/Internet_1/Masinformacion/SistemaRed/ACCSRED/index.htm</t>
  </si>
  <si>
    <t>Proactivo</t>
  </si>
  <si>
    <t xml:space="preserve"> Certificado electrónico, DNI electrónico</t>
  </si>
  <si>
    <t>* Turismo, ocio y tiempo libre
* Impuestos y otros tributos</t>
  </si>
  <si>
    <t>Modelo 200. IS. Impuesto sobre Sociedades e Impuesto sobre la Renta de no Residentes. Documentos de ingreso o devolución. (Modelo 200 y 206)</t>
  </si>
  <si>
    <t>Facilitar la presentación de la autoliquidación del Impuesto sobre Sociedades e Impuesto sobre la Renta de no Residentes (establecimientos permanentes y entidades en régimen de atribución de rentas constituidas en el extranjero con presencia en territorio español).Los obligados tributarios que deban tributar simultáneamente ante varias Administraciones (Hacienda estatal y Haciendas forales), deberán presentar autoliquidación ante la Hacienda estatal de la forma indicada y ante las Haciendas forales en los términos aprobados por éstas.</t>
  </si>
  <si>
    <t>Agencia Estatal de Administracion Tributaria</t>
  </si>
  <si>
    <t>https://www.agenciatributaria.gob.es/AEAT.sede/tramitacion/GE04.shtml</t>
  </si>
  <si>
    <t>Impuestos y otros tributos</t>
  </si>
  <si>
    <t>Baja de trabajadores en el Régimen General</t>
  </si>
  <si>
    <t>Comunicación del cese de la prestación de servicios de trabajadores por cuenta ajena del Régimen General</t>
  </si>
  <si>
    <t xml:space="preserve">trabajadores, baja, régimen general </t>
  </si>
  <si>
    <t xml:space="preserve">200, modelo, impuesto, sociedades, renta, residentes, ingreso, documentos, devolución, 206 </t>
  </si>
  <si>
    <t>Ingreso cotizaciones Rég. General y asimilados</t>
  </si>
  <si>
    <t>Ingreso de cotizaciones por los responsables del pago del Régimen General y resto de regímenes por cuenta ajena.</t>
  </si>
  <si>
    <t xml:space="preserve">cotizaciones, ingreso, rég, general, asimilados, régimen general </t>
  </si>
  <si>
    <t>DNI electrónico, Certificado electrónico</t>
  </si>
  <si>
    <t>Proactive</t>
  </si>
  <si>
    <t>User and password,  Electronic National ID (DNIe), Cl@ve PIN</t>
  </si>
  <si>
    <t>Electronic Certificate, Electronic National ID (DNIe), Cl@ve PIN</t>
  </si>
  <si>
    <t xml:space="preserve">Technology, Research and Innovation </t>
  </si>
  <si>
    <t>Education and training</t>
  </si>
  <si>
    <t xml:space="preserve">Tourism, Leisure and Free time
</t>
  </si>
  <si>
    <t>Social services and Equality</t>
  </si>
  <si>
    <t>* Public Works, traffic and transport
* Health
* Business</t>
  </si>
  <si>
    <t>* Tourism, Leisure and Free time
* Taxes and other contributions</t>
  </si>
  <si>
    <t>Taxes and other contributions</t>
  </si>
  <si>
    <t>Employment and Social Security</t>
  </si>
  <si>
    <t>Aids for research staff training within official doctoral programs in the Canary Islands (Modality A)</t>
  </si>
  <si>
    <t>aids, realization, thesis, doctoral, canary, modality</t>
  </si>
  <si>
    <t>Act for initiating or annually renewing  the legal relationship between students and University in certain studies leading to the attainment of a title valid for the whole national territory.</t>
  </si>
  <si>
    <t xml:space="preserve">enrollment - self-enrollment degree, master's degree, university </t>
  </si>
  <si>
    <t>Through this procedure you can request the equivalence of higher education degrees awarded by foreign institutions to Official Bachelor's or Master's degree incertains knowledge branches and fields. It also allows to check the status of its processing after presenting the application at an official register.</t>
  </si>
  <si>
    <t>certificate, homologation, university, recognition, qualifications, degree, master</t>
  </si>
  <si>
    <t>To inform the General Directorate of Personnel Costs and Public Pensions of the variation of data that have significance in a pension or pensions collection: civil status, other public pensions, active work, option between incompatible pensions, etc.</t>
  </si>
  <si>
    <t>data, modification, pensions, general directorate of personnel costs, public pensions</t>
  </si>
  <si>
    <t>import, export, manufacturing, medicines, registered</t>
  </si>
  <si>
    <t>"The holders of tourist accommodation establishments have to declare the services they offer, as well as the prices of the establishment.
These data are published in the Official Guide of Tourist Establishments in order to guarantee publicity. "</t>
  </si>
  <si>
    <t xml:space="preserve">prices, declaration, services, accommodations, tourist, guide, tourist establishmentss </t>
  </si>
  <si>
    <t>Autorization procedure for changing the business activity carried out at the premise.</t>
  </si>
  <si>
    <t>activity, change, premise, commercial</t>
  </si>
  <si>
    <t>Granting licence for premises operating as Gaming Hall or Amusement Arcades</t>
  </si>
  <si>
    <t>Granting, licence, Gaming Hall, Amusement Arcades</t>
  </si>
  <si>
    <t>Enroll the employer in Social Security by assigning the contribution account code (CCC) or CCC allocation.</t>
  </si>
  <si>
    <t>enrollment, assignment, contribution account code quote, ccc, social security</t>
  </si>
  <si>
    <t>Communication of the beginning of provision of services for employed workers in the General Social Security Scheme</t>
  </si>
  <si>
    <t xml:space="preserve">workers, general schema, general social security scheme </t>
  </si>
  <si>
    <t>Facilitate the submittion of Corporation Tax and Income Tax payment for Non-Residents (permanent establishments and entities under the regime of income attribution for abroad constituion with presence in the Spanish territory). Those taxpayers who must be taxed simultaneously by several Administrations (State Treasury and Regional Treasuries) must submit the payment to State Treasury as describe and  to Regional Treasuries under the terms approved by them.</t>
  </si>
  <si>
    <t>200, model, tax, companies, earning, residents, income, documents, return, 206</t>
  </si>
  <si>
    <t>Communication of the cessation of the provision of services for employed workers in the General Scheme</t>
  </si>
  <si>
    <t>workers, cessation, general scheme</t>
  </si>
  <si>
    <t>Deposit of contributions by those responsible for the payment of the General Scheme and other schemes for employed workers</t>
  </si>
  <si>
    <t>contributions, deposit, general scheme, employed workers</t>
  </si>
  <si>
    <t>The birth certificate is the document issued by the registrar of the corresponding Civil or Consular Registry, which attests to the fact of the birth, date on which it took place, sex and, in its case, time of the birth and affiliation.
Likewise, electronic birth certificates may be issued with an electronic stamp of the General Directorate of Registries and Notaries with the data contained in the central database of persons registered in the Civil Registries.
How?
Enter the Electronic Office of the Ministry of Justice and access the Birth Certificate.
You can choose to receive the certificate by postal mail at the address indicated in the application or pick it up in the corresponding Civil Registry that you expressly indicate. In this case the Civil Registry will tell you the date from which you can collect it from.</t>
  </si>
  <si>
    <t>Spanish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</si>
</sst>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0"/>
      <color theme="1"/>
      <name val="Calibri"/>
      <family val="2"/>
      <scheme val="minor"/>
    </font>
    <font>
      <sz val="10"/>
      <color rgb="FF000000"/>
      <name val="Calibri"/>
      <family val="2"/>
      <scheme val="minor"/>
    </font>
    <font>
      <sz val="10"/>
      <color theme="1"/>
      <name val="Calibri"/>
      <family val="2"/>
      <scheme val="minor"/>
    </font>
    <font>
      <sz val="10"/>
      <color rgb="FF000000"/>
      <name val="Calibri"/>
      <family val="2"/>
    </font>
    <font>
      <u/>
      <sz val="11"/>
      <color theme="10"/>
      <name val="Calibri"/>
      <family val="2"/>
      <scheme val="minor"/>
    </font>
    <font>
      <sz val="11"/>
      <color rgb="FF9C6500"/>
      <name val="Calibri"/>
      <family val="2"/>
      <scheme val="minor"/>
    </font>
    <font>
      <b/>
      <sz val="11"/>
      <color rgb="FFFA7D00"/>
      <name val="Calibri"/>
      <family val="2"/>
      <scheme val="minor"/>
    </font>
    <font>
      <sz val="10"/>
      <color theme="1"/>
      <name val="Verdana"/>
      <family val="2"/>
    </font>
    <font>
      <sz val="9"/>
      <color indexed="81"/>
      <name val="Tahoma"/>
      <family val="2"/>
    </font>
    <font>
      <b/>
      <sz val="9"/>
      <color indexed="81"/>
      <name val="Tahoma"/>
      <family val="2"/>
    </font>
    <font>
      <sz val="9"/>
      <color indexed="81"/>
      <name val="Tahoma"/>
      <charset val="1"/>
    </font>
    <font>
      <b/>
      <sz val="9"/>
      <color indexed="81"/>
      <name val="Tahoma"/>
      <charset val="1"/>
    </font>
  </fonts>
  <fills count="6">
    <fill>
      <patternFill patternType="none"/>
    </fill>
    <fill>
      <patternFill patternType="gray125"/>
    </fill>
    <fill>
      <patternFill patternType="solid">
        <fgColor rgb="FFD9D9D9"/>
        <bgColor indexed="64"/>
      </patternFill>
    </fill>
    <fill>
      <patternFill patternType="solid">
        <fgColor rgb="FFFFEB9C"/>
      </patternFill>
    </fill>
    <fill>
      <patternFill patternType="solid">
        <fgColor rgb="FFF2F2F2"/>
      </patternFill>
    </fill>
    <fill>
      <patternFill patternType="solid">
        <fgColor rgb="FFFFFF00"/>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style="thick">
        <color auto="1"/>
      </right>
      <top/>
      <bottom/>
      <diagonal/>
    </border>
    <border>
      <left/>
      <right/>
      <top/>
      <bottom style="thick">
        <color auto="1"/>
      </bottom>
      <diagonal/>
    </border>
    <border>
      <left/>
      <right style="thick">
        <color auto="1"/>
      </right>
      <top/>
      <bottom style="thick">
        <color auto="1"/>
      </bottom>
      <diagonal/>
    </border>
    <border>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right style="thin">
        <color rgb="FF7F7F7F"/>
      </right>
      <top style="thin">
        <color rgb="FF7F7F7F"/>
      </top>
      <bottom/>
      <diagonal/>
    </border>
    <border>
      <left style="thin">
        <color rgb="FF7F7F7F"/>
      </left>
      <right/>
      <top style="thin">
        <color rgb="FF7F7F7F"/>
      </top>
      <bottom/>
      <diagonal/>
    </border>
    <border>
      <left style="thick">
        <color theme="1"/>
      </left>
      <right style="thin">
        <color rgb="FF7F7F7F"/>
      </right>
      <top style="thin">
        <color rgb="FF7F7F7F"/>
      </top>
      <bottom style="thin">
        <color indexed="64"/>
      </bottom>
      <diagonal/>
    </border>
    <border>
      <left style="thin">
        <color rgb="FF7F7F7F"/>
      </left>
      <right style="thin">
        <color rgb="FF7F7F7F"/>
      </right>
      <top style="thin">
        <color rgb="FF7F7F7F"/>
      </top>
      <bottom style="thin">
        <color indexed="64"/>
      </bottom>
      <diagonal/>
    </border>
    <border>
      <left style="thin">
        <color rgb="FF7F7F7F"/>
      </left>
      <right style="thick">
        <color theme="1"/>
      </right>
      <top style="thin">
        <color rgb="FF7F7F7F"/>
      </top>
      <bottom style="thin">
        <color indexed="64"/>
      </bottom>
      <diagonal/>
    </border>
    <border>
      <left style="thick">
        <color auto="1"/>
      </left>
      <right/>
      <top/>
      <bottom style="thin">
        <color indexed="64"/>
      </bottom>
      <diagonal/>
    </border>
    <border>
      <left style="thin">
        <color indexed="64"/>
      </left>
      <right style="thick">
        <color auto="1"/>
      </right>
      <top/>
      <bottom style="thin">
        <color indexed="64"/>
      </bottom>
      <diagonal/>
    </border>
    <border>
      <left style="thin">
        <color indexed="64"/>
      </left>
      <right style="thin">
        <color indexed="64"/>
      </right>
      <top/>
      <bottom style="thin">
        <color indexed="64"/>
      </bottom>
      <diagonal/>
    </border>
    <border>
      <left style="thin">
        <color indexed="64"/>
      </left>
      <right style="thick">
        <color theme="1"/>
      </right>
      <top/>
      <bottom style="thin">
        <color indexed="64"/>
      </bottom>
      <diagonal/>
    </border>
    <border>
      <left/>
      <right style="thick">
        <color theme="1"/>
      </right>
      <top/>
      <bottom/>
      <diagonal/>
    </border>
    <border>
      <left/>
      <right style="thick">
        <color theme="1"/>
      </right>
      <top/>
      <bottom style="thick">
        <color auto="1"/>
      </bottom>
      <diagonal/>
    </border>
    <border>
      <left style="thin">
        <color indexed="64"/>
      </left>
      <right style="thick">
        <color theme="1"/>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6" fillId="3" borderId="0" applyNumberFormat="0" applyBorder="0" applyAlignment="0" applyProtection="0"/>
    <xf numFmtId="0" fontId="7" fillId="4" borderId="8" applyNumberFormat="0" applyAlignment="0" applyProtection="0"/>
  </cellStyleXfs>
  <cellXfs count="6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0" fillId="0" borderId="0" xfId="0" applyAlignment="1">
      <alignment vertical="center" wrapText="1"/>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0" fillId="0" borderId="0" xfId="0" applyAlignment="1">
      <alignment wrapText="1"/>
    </xf>
    <xf numFmtId="0" fontId="1" fillId="2" borderId="7" xfId="0" applyFont="1" applyFill="1" applyBorder="1" applyAlignment="1">
      <alignment horizontal="center" vertical="center" wrapText="1"/>
    </xf>
    <xf numFmtId="0" fontId="2" fillId="0" borderId="7" xfId="0" applyFont="1" applyBorder="1" applyAlignment="1">
      <alignment horizontal="center" vertical="center" wrapText="1"/>
    </xf>
    <xf numFmtId="0" fontId="2" fillId="0" borderId="7" xfId="0" applyFont="1" applyFill="1" applyBorder="1" applyAlignment="1">
      <alignment horizontal="center" vertical="center" wrapText="1"/>
    </xf>
    <xf numFmtId="0" fontId="5" fillId="0" borderId="7" xfId="1" applyBorder="1" applyAlignment="1">
      <alignment vertical="center" wrapText="1"/>
    </xf>
    <xf numFmtId="0" fontId="0" fillId="0" borderId="7" xfId="0" applyBorder="1" applyAlignment="1">
      <alignment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top" wrapText="1"/>
    </xf>
    <xf numFmtId="0" fontId="8" fillId="0" borderId="0" xfId="0" applyFont="1" applyAlignment="1">
      <alignment horizontal="justify" vertical="top"/>
    </xf>
    <xf numFmtId="0" fontId="5" fillId="0" borderId="0" xfId="1" applyAlignment="1">
      <alignment vertical="top" wrapText="1"/>
    </xf>
    <xf numFmtId="0" fontId="0" fillId="0" borderId="0" xfId="0" applyAlignment="1">
      <alignment vertical="top"/>
    </xf>
    <xf numFmtId="0" fontId="5" fillId="0" borderId="0" xfId="1" applyAlignment="1">
      <alignment horizontal="justify" vertical="top"/>
    </xf>
    <xf numFmtId="0" fontId="0" fillId="0" borderId="0" xfId="0" applyAlignment="1">
      <alignment horizontal="left" vertical="top" wrapText="1"/>
    </xf>
    <xf numFmtId="0" fontId="5" fillId="0" borderId="0" xfId="1" applyAlignment="1">
      <alignment horizontal="left" vertical="top" wrapText="1"/>
    </xf>
    <xf numFmtId="0" fontId="5" fillId="0" borderId="0" xfId="1" quotePrefix="1" applyAlignment="1">
      <alignment vertical="top" wrapText="1"/>
    </xf>
    <xf numFmtId="0" fontId="0" fillId="0" borderId="9" xfId="0" applyBorder="1" applyAlignment="1">
      <alignment vertical="top" wrapText="1"/>
    </xf>
    <xf numFmtId="0" fontId="0" fillId="0" borderId="9" xfId="0" applyBorder="1" applyAlignment="1">
      <alignment vertical="top"/>
    </xf>
    <xf numFmtId="0" fontId="0" fillId="0" borderId="10" xfId="0" applyBorder="1" applyAlignment="1">
      <alignment vertical="top" wrapText="1"/>
    </xf>
    <xf numFmtId="0" fontId="0" fillId="0" borderId="10" xfId="0" applyBorder="1" applyAlignment="1">
      <alignment vertical="top"/>
    </xf>
    <xf numFmtId="0" fontId="0" fillId="0" borderId="11" xfId="0" applyBorder="1" applyAlignment="1">
      <alignment vertical="top" wrapText="1"/>
    </xf>
    <xf numFmtId="0" fontId="5" fillId="0" borderId="10" xfId="1" applyBorder="1" applyAlignment="1">
      <alignment vertical="top" wrapText="1"/>
    </xf>
    <xf numFmtId="0" fontId="0" fillId="5" borderId="7" xfId="0" applyFill="1" applyBorder="1" applyAlignment="1">
      <alignment vertical="center" wrapText="1"/>
    </xf>
    <xf numFmtId="0" fontId="2" fillId="5" borderId="7" xfId="0" applyFont="1" applyFill="1" applyBorder="1" applyAlignment="1">
      <alignment horizontal="center" vertical="center" wrapText="1"/>
    </xf>
    <xf numFmtId="0" fontId="5" fillId="5" borderId="7" xfId="1" applyFill="1" applyBorder="1" applyAlignment="1">
      <alignment vertical="center" wrapText="1"/>
    </xf>
    <xf numFmtId="0" fontId="0" fillId="5" borderId="7" xfId="0" applyFill="1" applyBorder="1" applyAlignment="1">
      <alignment horizontal="center" vertical="center" wrapText="1"/>
    </xf>
    <xf numFmtId="0" fontId="2" fillId="5" borderId="7" xfId="0" applyFont="1" applyFill="1" applyBorder="1" applyAlignment="1">
      <alignment vertical="center" wrapText="1"/>
    </xf>
    <xf numFmtId="0" fontId="0" fillId="5" borderId="0" xfId="0" applyFill="1" applyAlignment="1">
      <alignment vertical="center" wrapText="1"/>
    </xf>
    <xf numFmtId="0" fontId="6" fillId="3" borderId="7" xfId="2" applyBorder="1" applyAlignment="1">
      <alignment vertical="top" wrapText="1"/>
    </xf>
    <xf numFmtId="0" fontId="6" fillId="3" borderId="12" xfId="2" applyBorder="1" applyAlignment="1">
      <alignment vertical="top" wrapText="1"/>
    </xf>
    <xf numFmtId="0" fontId="6" fillId="3" borderId="13" xfId="2" applyBorder="1" applyAlignment="1">
      <alignment vertical="top" wrapText="1"/>
    </xf>
    <xf numFmtId="0" fontId="8" fillId="0" borderId="9" xfId="0" applyFont="1" applyBorder="1" applyAlignment="1">
      <alignment horizontal="justify" vertical="top"/>
    </xf>
    <xf numFmtId="0" fontId="7" fillId="4" borderId="14" xfId="3" applyBorder="1" applyAlignment="1">
      <alignment horizontal="center" vertical="top" wrapText="1"/>
    </xf>
    <xf numFmtId="0" fontId="6" fillId="3" borderId="19" xfId="2" applyBorder="1" applyAlignment="1">
      <alignment vertical="top" wrapText="1"/>
    </xf>
    <xf numFmtId="0" fontId="7" fillId="4" borderId="15" xfId="3" applyBorder="1" applyAlignment="1">
      <alignment vertical="top" wrapText="1"/>
    </xf>
    <xf numFmtId="0" fontId="6" fillId="3" borderId="21" xfId="2" applyBorder="1" applyAlignment="1">
      <alignment vertical="top" wrapText="1"/>
    </xf>
    <xf numFmtId="0" fontId="6" fillId="3" borderId="20" xfId="2" applyBorder="1" applyAlignment="1">
      <alignment vertical="top"/>
    </xf>
    <xf numFmtId="0" fontId="6" fillId="3" borderId="22" xfId="2" applyBorder="1" applyAlignment="1">
      <alignment vertical="top" wrapText="1"/>
    </xf>
    <xf numFmtId="0" fontId="0" fillId="0" borderId="23" xfId="0" applyBorder="1" applyAlignment="1">
      <alignment vertical="top" wrapText="1"/>
    </xf>
    <xf numFmtId="0" fontId="0" fillId="0" borderId="23" xfId="0" quotePrefix="1" applyBorder="1" applyAlignment="1">
      <alignment vertical="top" wrapText="1"/>
    </xf>
    <xf numFmtId="0" fontId="0" fillId="0" borderId="24" xfId="0" applyBorder="1" applyAlignment="1">
      <alignment vertical="top" wrapText="1"/>
    </xf>
    <xf numFmtId="0" fontId="6" fillId="3" borderId="25" xfId="2" applyBorder="1" applyAlignment="1">
      <alignment vertical="top" wrapText="1"/>
    </xf>
    <xf numFmtId="0" fontId="6" fillId="3" borderId="20" xfId="2" applyBorder="1" applyAlignment="1">
      <alignment vertical="top" wrapText="1"/>
    </xf>
    <xf numFmtId="0" fontId="0" fillId="0" borderId="9" xfId="0" quotePrefix="1" applyBorder="1" applyAlignment="1">
      <alignment vertical="top"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4" fillId="0" borderId="5" xfId="0" applyFont="1" applyBorder="1" applyAlignment="1">
      <alignment horizontal="center" vertical="center" wrapText="1"/>
    </xf>
    <xf numFmtId="0" fontId="7" fillId="4" borderId="16" xfId="3" applyBorder="1" applyAlignment="1">
      <alignment horizontal="center" vertical="top" wrapText="1"/>
    </xf>
    <xf numFmtId="0" fontId="7" fillId="4" borderId="17" xfId="3" applyBorder="1" applyAlignment="1">
      <alignment horizontal="center" vertical="top" wrapText="1"/>
    </xf>
    <xf numFmtId="0" fontId="7" fillId="4" borderId="18" xfId="3" applyBorder="1" applyAlignment="1">
      <alignment horizontal="center" vertical="top" wrapText="1"/>
    </xf>
  </cellXfs>
  <cellStyles count="4">
    <cellStyle name="Calculation" xfId="3" builtinId="22"/>
    <cellStyle name="Hyperlink" xfId="1" builtinId="8"/>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tramites.administracion.gob.es/comunidad/tramites/recurso/servicio-de-comunicacion-del-cambio-de-domicilio/2c0e3f8e-4e27-4c65-a7ba-79295f7a480b?searchid=c1a31fd4-e3e0-15fc-e797-5e58f79ab343" TargetMode="External"/><Relationship Id="rId13" Type="http://schemas.openxmlformats.org/officeDocument/2006/relationships/hyperlink" Target="http://tramites.administracion.gob.es/comunidad/tramites/recurso/autorizacion-de-licencia-comercial-a-grandes/1d56114d-ca9d-471c-b4ac-8bd0cf04073f?searchid=d86ac21d-b09c-30be-e45e-fd8b0f6f9023" TargetMode="External"/><Relationship Id="rId18" Type="http://schemas.openxmlformats.org/officeDocument/2006/relationships/hyperlink" Target="http://tramites.administracion.gob.es/comunidad/tramites/recurso/baja-de-trabajadores-en-el-regimen-general/30fa6c97-9d91-4d34-8d64-0673cb21d99e?searchid=603343bc-4382-fbaa-7e80-2cb4c7c3cc2f" TargetMode="External"/><Relationship Id="rId26" Type="http://schemas.openxmlformats.org/officeDocument/2006/relationships/hyperlink" Target="http://tramites.administracion.gob.es/comunidad/tramites/recurso/inscripcion-registro-oficial-de-centros-de/a68b40cd-837b-4bab-b0dd-db2bafd7d872?searchid=8fa5fb6b-5315-398c-b8ee-e89a7997e1d7" TargetMode="External"/><Relationship Id="rId3" Type="http://schemas.openxmlformats.org/officeDocument/2006/relationships/hyperlink" Target="http://tramites.administracion.gob.es/comunidad/tramites/recurso/ayudas-para-la-realizacion-de-tesis-doctorales/0440ce83-544f-4c43-a5af-5642d32ad45e?searchid=4ebd96aa-c97e-34e6-4eb8-bb02d4e2188e" TargetMode="External"/><Relationship Id="rId21" Type="http://schemas.openxmlformats.org/officeDocument/2006/relationships/hyperlink" Target="http://tramites.administracion.gob.es/comunidad/tramites/recurso/modelo-200-is-impuesto-sobre-sociedades-e/4c3ded67-ad8c-404b-beec-593853cc6993?searchid=7b0e1a3d-bac9-7dc0-4e7c-b5de89045a81" TargetMode="External"/><Relationship Id="rId7" Type="http://schemas.openxmlformats.org/officeDocument/2006/relationships/hyperlink" Target="http://tramites.administracion.gob.es/comunidad/tramites/recurso/solicitud-tarjeta-sanitaria-europea/384ee7bc-a5d5-4f15-b68f-88257de68f03?searchid=927b6eb2-14c9-c92a-5dc6-7c85d91f4c31" TargetMode="External"/><Relationship Id="rId12" Type="http://schemas.openxmlformats.org/officeDocument/2006/relationships/hyperlink" Target="http://tramites.administracion.gob.es/comunidad/tramites/recurso/puesta-en-funcionamiento-de-piscifactorias-o/bf23231a-3183-4981-b7d1-43eb047ac9b9?searchid=0f32ec01-6df3-ddda-42e7-b5bc5a59d098" TargetMode="External"/><Relationship Id="rId17" Type="http://schemas.openxmlformats.org/officeDocument/2006/relationships/hyperlink" Target="http://tramites.administracion.gob.es/comunidad/tramites/recurso/alta-de-trabajadores-en-el-regimen-general/61da1532-6474-430f-8893-2a92a6de37fb?searchid=713c2e4a-84ed-97e0-5a56-a2a1203d06e5" TargetMode="External"/><Relationship Id="rId25" Type="http://schemas.openxmlformats.org/officeDocument/2006/relationships/hyperlink" Target="http://tramites.administracion.gob.es/comunidad/tramites/recurso/inscripcion-en-el-registro-especial-de-talleres/b6988676-868a-4bfc-931d-12fe36a7e059?searchid=e39a500a-78c7-6718-b0fc-dab7c0ba308c" TargetMode="External"/><Relationship Id="rId33" Type="http://schemas.openxmlformats.org/officeDocument/2006/relationships/printerSettings" Target="../printerSettings/printerSettings1.bin"/><Relationship Id="rId2" Type="http://schemas.openxmlformats.org/officeDocument/2006/relationships/hyperlink" Target="http://tramites.administracion.gob.es/comunidad/tramites/recurso/certificado-de-residente/b625f845-8d2b-4ff2-8636-a91a844732b1?searchid=12045f1b-9d7a-bf98-27e4-483a64ab47a9" TargetMode="External"/><Relationship Id="rId16" Type="http://schemas.openxmlformats.org/officeDocument/2006/relationships/hyperlink" Target="http://tramites.administracion.gob.es/comunidad/tramites/recurso/declaracion-de-precios-y-servicios-de-los/cdcbfef7-b92d-4f00-8cb9-0771eae0b06a?searchid=952a2d0d-25ef-95e6-2d2d-5a80fcb4c2b6" TargetMode="External"/><Relationship Id="rId20" Type="http://schemas.openxmlformats.org/officeDocument/2006/relationships/hyperlink" Target="http://tramites.administracion.gob.es/comunidad/tramites/recurso/ingreso-cotizaciones-reg-general-y-asimilados/d11cb231-2087-4b94-8ade-accca729fc8b?searchid=125903f1-3091-e3df-51b3-c7e9f6be50b0" TargetMode="External"/><Relationship Id="rId29" Type="http://schemas.openxmlformats.org/officeDocument/2006/relationships/hyperlink" Target="http://tramites.administracion.gob.es/comunidad/tramites/recurso/solicitud-de-licencia-de-gran-establecimiento/00714924-ddb3-477f-8876-b4baa1716d56?searchid=d7ea8848-5df8-0f2e-fd4b-61abd093f046" TargetMode="External"/><Relationship Id="rId1" Type="http://schemas.openxmlformats.org/officeDocument/2006/relationships/hyperlink" Target="http://tramites.administracion.gob.es/comunidad/tramites/recurso/certificado-de-nacimiento/a89590c6-1e43-4330-830d-5b44a73c9bd2?searchid=832ab039-9b80-ad41-1ed1-b8339f27f430" TargetMode="External"/><Relationship Id="rId6" Type="http://schemas.openxmlformats.org/officeDocument/2006/relationships/hyperlink" Target="http://tramites.administracion.gob.es/comunidad/tramites/recurso/modificacion-de-datos-de-pensiones/31dc81cd-b0b3-4358-bb69-408071d7da3c?searchid=dc78b0ae-168b-1b6d-085c-eef5fa73b08f" TargetMode="External"/><Relationship Id="rId11" Type="http://schemas.openxmlformats.org/officeDocument/2006/relationships/hyperlink" Target="http://tramites.administracion.gob.es/comunidad/tramites/recurso/importacion-exportacion-fabricacion-de/a1fbc101-eaa1-453b-92c4-a18c3d14a916?searchid=99a72efd-5daf-22de-3908-0c3855aabef0" TargetMode="External"/><Relationship Id="rId24" Type="http://schemas.openxmlformats.org/officeDocument/2006/relationships/hyperlink" Target="http://tramites.administracion.gob.es/comunidad/tramites/recurso/comunicacion-ventas-en-liquidacion/70c8df1b-3b46-4804-ac21-0102dd081b70?searchid=227df2a0-05f3-c928-7e3d-8cd6bc0ca4f1" TargetMode="External"/><Relationship Id="rId32" Type="http://schemas.openxmlformats.org/officeDocument/2006/relationships/hyperlink" Target="https://preprod.ces.ama.gov.pt/web/guest/servicos?p_p_id=cespublicservice_WAR_cesportal&amp;p_p_lifecycle=0&amp;p_p_state=normal&amp;p_p_mode=view&amp;_cespublicservice_WAR_cesportal_id=1775&amp;_cespublicservice_WAR_cesportal_render=detail&amp;_cespublicservice_WAR_cesportal_version=1" TargetMode="External"/><Relationship Id="rId5" Type="http://schemas.openxmlformats.org/officeDocument/2006/relationships/hyperlink" Target="http://tramites.administracion.gob.es/comunidad/tramites/recurso/homologacion-de-titulos-universitarios-y/3eade2e6-dae6-4731-9397-088ca7891167?searchid=d31aa9d5-2cb7-1d69-6cc8-e5dff11daddd" TargetMode="External"/><Relationship Id="rId15" Type="http://schemas.openxmlformats.org/officeDocument/2006/relationships/hyperlink" Target="http://tramites.administracion.gob.es/comunidad/tramites/recurso/comunicacion-de-cese-de-actividad-de-un/45208798-fe93-42fb-a4ed-d8b5fb8d8da8?searchid=827f1175-1da4-a302-4aac-29f01c5a7c68" TargetMode="External"/><Relationship Id="rId23" Type="http://schemas.openxmlformats.org/officeDocument/2006/relationships/hyperlink" Target="http://tramites.administracion.gob.es/comunidad/tramites/recurso/registro-de-agentes-inmobiliarios-de-catalua/9a11a4b3-bb13-415c-a8c4-f2e5d489d573?searchid=1e866073-c0e8-88f7-daeb-8ece7f3a9614" TargetMode="External"/><Relationship Id="rId28" Type="http://schemas.openxmlformats.org/officeDocument/2006/relationships/hyperlink" Target="http://tramites.administracion.gob.es/comunidad/tramites/recurso/autorizacion-de-funcionamiento-de-salon/e5b88c1f-ac51-47d7-bec2-ca01bd340eab?searchid=36ae970d-fb53-6f8d-708e-9cbef05af346" TargetMode="External"/><Relationship Id="rId10" Type="http://schemas.openxmlformats.org/officeDocument/2006/relationships/hyperlink" Target="http://tramites.administracion.gob.es/comunidad/tramites/recurso/instalacion-de-situados-para-ejercer-la-venta/272abe9a-b643-40ee-97e8-cdabd6cba6ca?searchid=28b2320c-10e2-84d6-d67e-cc179cc600af" TargetMode="External"/><Relationship Id="rId19" Type="http://schemas.openxmlformats.org/officeDocument/2006/relationships/hyperlink" Target="http://tramites.administracion.gob.es/comunidad/tramites/recurso/inscripcion-y-asignacion-codigo-cuenta-cotizacion/5282bc14-e018-4c6b-b524-913f3517b879?searchid=6937250c-4f56-5dc5-02fa-70625a514777" TargetMode="External"/><Relationship Id="rId31" Type="http://schemas.openxmlformats.org/officeDocument/2006/relationships/hyperlink" Target="https://preprod.ces.ama.gov.pt/web/guest/servicos?p_p_id=cespublicservice_WAR_cesportal&amp;p_p_lifecycle=0&amp;p_p_state=normal&amp;p_p_mode=view&amp;_cespublicservice_WAR_cesportal_id=41&amp;_cespublicservice_WAR_cesportal_render=detail&amp;_cespublicservice_WAR_cesportal_version=1" TargetMode="External"/><Relationship Id="rId4" Type="http://schemas.openxmlformats.org/officeDocument/2006/relationships/hyperlink" Target="http://tramites.administracion.gob.es/comunidad/tramites/recurso/matricula--automatricula-de-grado-y-master/2380c61b-4ee7-4819-8174-2e93a8b99ac1?searchid=38bd2556-5e23-bb62-b526-c9a69c89109e" TargetMode="External"/><Relationship Id="rId9" Type="http://schemas.openxmlformats.org/officeDocument/2006/relationships/hyperlink" Target="http://tramites.administracion.gob.es/comunidad/tramites/recurso/pension-de-jubilacion/9550d166-45de-492a-a9c7-7310521ff7af?searchid=1e982eb8-e4d2-7b45-e22c-964e86c2e252" TargetMode="External"/><Relationship Id="rId14" Type="http://schemas.openxmlformats.org/officeDocument/2006/relationships/hyperlink" Target="http://tramites.administracion.gob.es/comunidad/tramites/recurso/inscripcion-de-inicio-de-actividad-de/ac30ba48-16f6-4b5d-bbc0-446d0748ee08?searchid=98ad83ec-b860-5954-cb53-fd7fe3693418" TargetMode="External"/><Relationship Id="rId22" Type="http://schemas.openxmlformats.org/officeDocument/2006/relationships/hyperlink" Target="http://tramites.administracion.gob.es/comunidad/tramites/recurso/inicio-de-actividad-de-establecimientos-de/35abc623-57a2-4d61-8708-c28feb3034b0?searchid=7db81b2f-c4be-9bcf-1762-5fbf37717ef1" TargetMode="External"/><Relationship Id="rId27" Type="http://schemas.openxmlformats.org/officeDocument/2006/relationships/hyperlink" Target="http://tramites.administracion.gob.es/comunidad/tramites/recurso/autorizacion-sanitaria-de-los-establecimientos-de/d3b279fd-10e4-4dee-889b-5c8b4e51c9d4?searchid=7756f230-1a43-1deb-3f30-ec0f5f807e58" TargetMode="External"/><Relationship Id="rId30" Type="http://schemas.openxmlformats.org/officeDocument/2006/relationships/hyperlink" Target="http://tramites.administracion.gob.es/comunidad/tramites/recurso/cambio-de-actividad-de-local-comercial/c6880f22-bbb8-43e5-a82a-0e494786e01e?searchid=146e243a-36a4-30b7-0ed5-f06e6b2f8cc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ede.madrid.es/portal/site/tramites/menuitem.1f3361415fda829be152e15284f1a5a0/?vgnextoid=59628af352bed010VgnVCM1000000b205a0aRCRD&amp;vgnextchannel=f47ea38813180210VgnVCM100000c90da8c0RCRD" TargetMode="External"/><Relationship Id="rId13" Type="http://schemas.openxmlformats.org/officeDocument/2006/relationships/hyperlink" Target="http://www.madrid.org/cs/Satellite?c=CM_Tramite_FA&amp;cid=1142598088068&amp;noMostrarML=true&amp;pageid=1331802501637&amp;pagename=PortalCiudadano%2FCM_Tramite_FA%2FPCIU_fichaTramite&amp;vest=1331802501621" TargetMode="External"/><Relationship Id="rId18" Type="http://schemas.openxmlformats.org/officeDocument/2006/relationships/hyperlink" Target="http://www.carm.es/web/pagina?IDCONTENIDO=915&amp;IDTIPO=240&amp;RASTRO=c672$m2469" TargetMode="External"/><Relationship Id="rId26" Type="http://schemas.openxmlformats.org/officeDocument/2006/relationships/hyperlink" Target="http://web.gencat.cat/redirect?uuid=1377781b-4e89-11e4-8b57-3598f89ae6fa&amp;category=772cf82a-a82c-11e3-a972-000c29052e2c&amp;idioma=es" TargetMode="External"/><Relationship Id="rId3" Type="http://schemas.openxmlformats.org/officeDocument/2006/relationships/hyperlink" Target="https://sede.policia.gob.es/portalCiudadano/extranjeria/pr_cer_residen.html" TargetMode="External"/><Relationship Id="rId21" Type="http://schemas.openxmlformats.org/officeDocument/2006/relationships/hyperlink" Target="http://ugr.es/" TargetMode="External"/><Relationship Id="rId7" Type="http://schemas.openxmlformats.org/officeDocument/2006/relationships/hyperlink" Target="https://sede.seg-social.gob.es/Sede_1/ServiciosenLinea/Ciudadanos/index.htm?ssUserText=131145" TargetMode="External"/><Relationship Id="rId12" Type="http://schemas.openxmlformats.org/officeDocument/2006/relationships/hyperlink" Target="https://www.cantabria.es/tramites-web?codigo=IND-X-017" TargetMode="External"/><Relationship Id="rId17" Type="http://schemas.openxmlformats.org/officeDocument/2006/relationships/hyperlink" Target="https://ciudadano.gobex.es/buscador-de-tramites/-/tramite/ficha/5613" TargetMode="External"/><Relationship Id="rId25" Type="http://schemas.openxmlformats.org/officeDocument/2006/relationships/hyperlink" Target="http://www.madrid.org/cs/Satellite?c=CM_Tramite_FA&amp;cid=1142564112542&amp;definicion=Autorizacion+Licencia+Permiso+Carne&amp;idConsejeria=1109266187248&amp;idListConsj=1109265444710&amp;idOrganismo=1109266227580&amp;language=es&amp;pagename=ComunidadMadrid%2FEstructura&amp;sm=1109265843990&amp;tipoServicio=CM_Tramite_FA" TargetMode="External"/><Relationship Id="rId33" Type="http://schemas.openxmlformats.org/officeDocument/2006/relationships/printerSettings" Target="../printerSettings/printerSettings2.bin"/><Relationship Id="rId2" Type="http://schemas.openxmlformats.org/officeDocument/2006/relationships/hyperlink" Target="http://administracion.gob.es/pagFront/tramites/miVidaEnTramites/listadoHechosVitales/previsualizacionHechoVital.htm?idHechoVital=21" TargetMode="External"/><Relationship Id="rId16" Type="http://schemas.openxmlformats.org/officeDocument/2006/relationships/hyperlink" Target="http://www.larioja.org/oficina-electronica/es?web=000&amp;proc=06608" TargetMode="External"/><Relationship Id="rId20" Type="http://schemas.openxmlformats.org/officeDocument/2006/relationships/hyperlink" Target="https://sede.gobcan.es/sede/tramites/4349" TargetMode="External"/><Relationship Id="rId29" Type="http://schemas.openxmlformats.org/officeDocument/2006/relationships/hyperlink" Target="http://www.seg-social.es/Internet_1/Masinformacion/SistemaRed/ACCSRED/index.htm" TargetMode="External"/><Relationship Id="rId1" Type="http://schemas.openxmlformats.org/officeDocument/2006/relationships/hyperlink" Target="http://www.mjusticia.gob.es/cs/Satellite/Portal/es/servicios-ciudadano/tramites-gestiones-personales/certificadocertificacion" TargetMode="External"/><Relationship Id="rId6" Type="http://schemas.openxmlformats.org/officeDocument/2006/relationships/hyperlink" Target="https://cambiodomicilio.redsara.es/pcd/" TargetMode="External"/><Relationship Id="rId11" Type="http://schemas.openxmlformats.org/officeDocument/2006/relationships/hyperlink" Target="https://www.caib.es/seucaib/es/tramites/tramite/2432054" TargetMode="External"/><Relationship Id="rId24" Type="http://schemas.openxmlformats.org/officeDocument/2006/relationships/hyperlink" Target="https://sede.msssi.gob.es/ciudadanos/procAdministrativos.do?tipo=detallar&amp;cod=997046" TargetMode="External"/><Relationship Id="rId32" Type="http://schemas.openxmlformats.org/officeDocument/2006/relationships/hyperlink" Target="http://www.seg-social.es/Internet_1/Masinformacion/SistemaRed/ACCSRED/index.htm" TargetMode="External"/><Relationship Id="rId5" Type="http://schemas.openxmlformats.org/officeDocument/2006/relationships/hyperlink" Target="http://administracion.gob.es/pagFront/tramites/miVidaEnTramites/listadoHechosVitales/previsualizacionHechoVital.htm?idHechoVital=103" TargetMode="External"/><Relationship Id="rId15" Type="http://schemas.openxmlformats.org/officeDocument/2006/relationships/hyperlink" Target="http://www.jccm.es/sede/tramite/JPU" TargetMode="External"/><Relationship Id="rId23" Type="http://schemas.openxmlformats.org/officeDocument/2006/relationships/hyperlink" Target="https://clasespasivas.gob.es/sitios/sedeclasespasivas/es-ES/solicitudElectronicaPrestaciones/Paginas/Registra.aspx" TargetMode="External"/><Relationship Id="rId28" Type="http://schemas.openxmlformats.org/officeDocument/2006/relationships/hyperlink" Target="http://run.gob.es/yglfmk" TargetMode="External"/><Relationship Id="rId10" Type="http://schemas.openxmlformats.org/officeDocument/2006/relationships/hyperlink" Target="https://sede.gobcan.es/sede/tramites/2715" TargetMode="External"/><Relationship Id="rId19" Type="http://schemas.openxmlformats.org/officeDocument/2006/relationships/hyperlink" Target="http://www.larioja.org/oficina-electronica/es?web=000&amp;proc=06681" TargetMode="External"/><Relationship Id="rId31" Type="http://schemas.openxmlformats.org/officeDocument/2006/relationships/hyperlink" Target="http://www.seg-social.es/Internet_1/Masinformacion/SistemaRed/ACCSRED/index.htm" TargetMode="External"/><Relationship Id="rId4" Type="http://schemas.openxmlformats.org/officeDocument/2006/relationships/hyperlink" Target="https://sede.muface.gob.es/" TargetMode="External"/><Relationship Id="rId9" Type="http://schemas.openxmlformats.org/officeDocument/2006/relationships/hyperlink" Target="http://www.juntadeandalucia.es/haciendayadministracionpublica/ciudadania/web/guest/procedimientos" TargetMode="External"/><Relationship Id="rId14" Type="http://schemas.openxmlformats.org/officeDocument/2006/relationships/hyperlink" Target="http://web.gencat.cat/redirect?uuid=ce209f4d-4060-11e4-81bd-cb94a8f4b18c&amp;category=747fd95a-a82c-11e3-a972-000c29052e2c&amp;idioma=es" TargetMode="External"/><Relationship Id="rId22" Type="http://schemas.openxmlformats.org/officeDocument/2006/relationships/hyperlink" Target="http://www.mecd.gob.es/servicios-al-ciudadano-mecd/catalogo/general/educacion/202057.html" TargetMode="External"/><Relationship Id="rId27" Type="http://schemas.openxmlformats.org/officeDocument/2006/relationships/hyperlink" Target="https://gobierno.aragon.es/portal/site/GobiernoAragon/menuitem.bc635f27d1b850777f4dbc1754a051ca?vgnextoid=b0390eb4bb58b210VgnVCM100000450a15acRCRD&amp;idTramite=1017" TargetMode="External"/><Relationship Id="rId30" Type="http://schemas.openxmlformats.org/officeDocument/2006/relationships/hyperlink" Target="https://www.agenciatributaria.gob.es/AEAT.sede/tramitacion/GE04.sht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sede.madrid.es/portal/site/tramites/menuitem.1f3361415fda829be152e15284f1a5a0/?vgnextoid=59628af352bed010VgnVCM1000000b205a0aRCRD&amp;vgnextchannel=f47ea38813180210VgnVCM100000c90da8c0RCRD" TargetMode="External"/><Relationship Id="rId13" Type="http://schemas.openxmlformats.org/officeDocument/2006/relationships/hyperlink" Target="http://www.madrid.org/cs/Satellite?c=CM_Tramite_FA&amp;cid=1142598088068&amp;noMostrarML=true&amp;pageid=1331802501637&amp;pagename=PortalCiudadano%2FCM_Tramite_FA%2FPCIU_fichaTramite&amp;vest=1331802501621" TargetMode="External"/><Relationship Id="rId18" Type="http://schemas.openxmlformats.org/officeDocument/2006/relationships/hyperlink" Target="http://www.carm.es/web/pagina?IDCONTENIDO=915&amp;IDTIPO=240&amp;RASTRO=c672$m2469" TargetMode="External"/><Relationship Id="rId26" Type="http://schemas.openxmlformats.org/officeDocument/2006/relationships/hyperlink" Target="http://web.gencat.cat/redirect?uuid=1377781b-4e89-11e4-8b57-3598f89ae6fa&amp;category=772cf82a-a82c-11e3-a972-000c29052e2c&amp;idioma=es" TargetMode="External"/><Relationship Id="rId3" Type="http://schemas.openxmlformats.org/officeDocument/2006/relationships/hyperlink" Target="https://sede.policia.gob.es/portalCiudadano/extranjeria/pr_cer_residen.html" TargetMode="External"/><Relationship Id="rId21" Type="http://schemas.openxmlformats.org/officeDocument/2006/relationships/hyperlink" Target="http://ugr.es/" TargetMode="External"/><Relationship Id="rId34" Type="http://schemas.openxmlformats.org/officeDocument/2006/relationships/vmlDrawing" Target="../drawings/vmlDrawing1.vml"/><Relationship Id="rId7" Type="http://schemas.openxmlformats.org/officeDocument/2006/relationships/hyperlink" Target="https://sede.seg-social.gob.es/Sede_1/ServiciosenLinea/Ciudadanos/index.htm?ssUserText=131145" TargetMode="External"/><Relationship Id="rId12" Type="http://schemas.openxmlformats.org/officeDocument/2006/relationships/hyperlink" Target="https://www.cantabria.es/tramites-web?codigo=IND-X-017" TargetMode="External"/><Relationship Id="rId17" Type="http://schemas.openxmlformats.org/officeDocument/2006/relationships/hyperlink" Target="https://ciudadano.gobex.es/buscador-de-tramites/-/tramite/ficha/5613" TargetMode="External"/><Relationship Id="rId25" Type="http://schemas.openxmlformats.org/officeDocument/2006/relationships/hyperlink" Target="http://www.madrid.org/cs/Satellite?c=CM_Tramite_FA&amp;cid=1142564112542&amp;definicion=Autorizacion+Licencia+Permiso+Carne&amp;idConsejeria=1109266187248&amp;idListConsj=1109265444710&amp;idOrganismo=1109266227580&amp;language=es&amp;pagename=ComunidadMadrid%2FEstructura&amp;sm=1109265843990&amp;tipoServicio=CM_Tramite_FA" TargetMode="External"/><Relationship Id="rId33" Type="http://schemas.openxmlformats.org/officeDocument/2006/relationships/printerSettings" Target="../printerSettings/printerSettings3.bin"/><Relationship Id="rId2" Type="http://schemas.openxmlformats.org/officeDocument/2006/relationships/hyperlink" Target="http://administracion.gob.es/pagFront/tramites/miVidaEnTramites/listadoHechosVitales/previsualizacionHechoVital.htm?idHechoVital=21" TargetMode="External"/><Relationship Id="rId16" Type="http://schemas.openxmlformats.org/officeDocument/2006/relationships/hyperlink" Target="http://www.larioja.org/oficina-electronica/es?web=000&amp;proc=06608" TargetMode="External"/><Relationship Id="rId20" Type="http://schemas.openxmlformats.org/officeDocument/2006/relationships/hyperlink" Target="https://sede.gobcan.es/sede/tramites/4349" TargetMode="External"/><Relationship Id="rId29" Type="http://schemas.openxmlformats.org/officeDocument/2006/relationships/hyperlink" Target="http://www.seg-social.es/Internet_1/Masinformacion/SistemaRed/ACCSRED/index.htm" TargetMode="External"/><Relationship Id="rId1" Type="http://schemas.openxmlformats.org/officeDocument/2006/relationships/hyperlink" Target="http://www.mjusticia.gob.es/cs/Satellite/Portal/es/servicios-ciudadano/tramites-gestiones-personales/certificadocertificacion" TargetMode="External"/><Relationship Id="rId6" Type="http://schemas.openxmlformats.org/officeDocument/2006/relationships/hyperlink" Target="https://cambiodomicilio.redsara.es/pcd/" TargetMode="External"/><Relationship Id="rId11" Type="http://schemas.openxmlformats.org/officeDocument/2006/relationships/hyperlink" Target="https://www.caib.es/seucaib/es/tramites/tramite/2432054" TargetMode="External"/><Relationship Id="rId24" Type="http://schemas.openxmlformats.org/officeDocument/2006/relationships/hyperlink" Target="https://sede.msssi.gob.es/ciudadanos/procAdministrativos.do?tipo=detallar&amp;cod=997046" TargetMode="External"/><Relationship Id="rId32" Type="http://schemas.openxmlformats.org/officeDocument/2006/relationships/hyperlink" Target="http://www.seg-social.es/Internet_1/Masinformacion/SistemaRed/ACCSRED/index.htm" TargetMode="External"/><Relationship Id="rId5" Type="http://schemas.openxmlformats.org/officeDocument/2006/relationships/hyperlink" Target="http://administracion.gob.es/pagFront/tramites/miVidaEnTramites/listadoHechosVitales/previsualizacionHechoVital.htm?idHechoVital=103" TargetMode="External"/><Relationship Id="rId15" Type="http://schemas.openxmlformats.org/officeDocument/2006/relationships/hyperlink" Target="http://www.jccm.es/sede/tramite/JPU" TargetMode="External"/><Relationship Id="rId23" Type="http://schemas.openxmlformats.org/officeDocument/2006/relationships/hyperlink" Target="https://clasespasivas.gob.es/sitios/sedeclasespasivas/es-ES/solicitudElectronicaPrestaciones/Paginas/Registra.aspx" TargetMode="External"/><Relationship Id="rId28" Type="http://schemas.openxmlformats.org/officeDocument/2006/relationships/hyperlink" Target="http://run.gob.es/yglfmk" TargetMode="External"/><Relationship Id="rId10" Type="http://schemas.openxmlformats.org/officeDocument/2006/relationships/hyperlink" Target="https://sede.gobcan.es/sede/tramites/2715" TargetMode="External"/><Relationship Id="rId19" Type="http://schemas.openxmlformats.org/officeDocument/2006/relationships/hyperlink" Target="http://www.larioja.org/oficina-electronica/es?web=000&amp;proc=06681" TargetMode="External"/><Relationship Id="rId31" Type="http://schemas.openxmlformats.org/officeDocument/2006/relationships/hyperlink" Target="http://www.seg-social.es/Internet_1/Masinformacion/SistemaRed/ACCSRED/index.htm" TargetMode="External"/><Relationship Id="rId4" Type="http://schemas.openxmlformats.org/officeDocument/2006/relationships/hyperlink" Target="https://sede.muface.gob.es/" TargetMode="External"/><Relationship Id="rId9" Type="http://schemas.openxmlformats.org/officeDocument/2006/relationships/hyperlink" Target="http://www.juntadeandalucia.es/haciendayadministracionpublica/ciudadania/web/guest/procedimientos" TargetMode="External"/><Relationship Id="rId14" Type="http://schemas.openxmlformats.org/officeDocument/2006/relationships/hyperlink" Target="http://web.gencat.cat/redirect?uuid=ce209f4d-4060-11e4-81bd-cb94a8f4b18c&amp;category=747fd95a-a82c-11e3-a972-000c29052e2c&amp;idioma=es" TargetMode="External"/><Relationship Id="rId22" Type="http://schemas.openxmlformats.org/officeDocument/2006/relationships/hyperlink" Target="http://www.mecd.gob.es/servicios-al-ciudadano-mecd/catalogo/general/educacion/202057.html" TargetMode="External"/><Relationship Id="rId27" Type="http://schemas.openxmlformats.org/officeDocument/2006/relationships/hyperlink" Target="https://gobierno.aragon.es/portal/site/GobiernoAragon/menuitem.bc635f27d1b850777f4dbc1754a051ca?vgnextoid=b0390eb4bb58b210VgnVCM100000450a15acRCRD&amp;idTramite=1017" TargetMode="External"/><Relationship Id="rId30" Type="http://schemas.openxmlformats.org/officeDocument/2006/relationships/hyperlink" Target="https://www.agenciatributaria.gob.es/AEAT.sede/tramitacion/GE04.shtml" TargetMode="External"/><Relationship Id="rId35"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Views>
    <sheetView workbookViewId="0">
      <selection activeCell="C2" sqref="C2:C22"/>
    </sheetView>
  </sheetViews>
  <sheetFormatPr defaultColWidth="11.42578125" defaultRowHeight="15" x14ac:dyDescent="0.25"/>
  <cols>
    <col min="1" max="1" width="8.85546875" style="9" bestFit="1" customWidth="1"/>
    <col min="2" max="2" width="6.42578125" style="9" bestFit="1" customWidth="1"/>
    <col min="3" max="3" width="67.5703125" style="9" customWidth="1"/>
    <col min="4" max="4" width="87.28515625" style="9" customWidth="1"/>
    <col min="5" max="16384" width="11.42578125" style="9"/>
  </cols>
  <sheetData>
    <row r="1" spans="1:4" ht="26.25" thickBot="1" x14ac:dyDescent="0.3">
      <c r="A1" s="1" t="s">
        <v>0</v>
      </c>
      <c r="B1" s="2" t="s">
        <v>1</v>
      </c>
      <c r="C1" s="2" t="s">
        <v>2</v>
      </c>
      <c r="D1" s="2" t="s">
        <v>3</v>
      </c>
    </row>
    <row r="2" spans="1:4" ht="15.75" thickBot="1" x14ac:dyDescent="0.3">
      <c r="A2" s="3" t="s">
        <v>4</v>
      </c>
      <c r="B2" s="4">
        <v>1</v>
      </c>
      <c r="C2" s="5" t="s">
        <v>5</v>
      </c>
      <c r="D2" s="5" t="s">
        <v>6</v>
      </c>
    </row>
    <row r="3" spans="1:4" ht="15.75" thickBot="1" x14ac:dyDescent="0.3">
      <c r="A3" s="3" t="s">
        <v>7</v>
      </c>
      <c r="B3" s="4">
        <v>2</v>
      </c>
      <c r="C3" s="5" t="s">
        <v>8</v>
      </c>
      <c r="D3" s="5" t="s">
        <v>9</v>
      </c>
    </row>
    <row r="4" spans="1:4" ht="26.25" thickBot="1" x14ac:dyDescent="0.3">
      <c r="A4" s="55" t="s">
        <v>10</v>
      </c>
      <c r="B4" s="4">
        <v>3</v>
      </c>
      <c r="C4" s="5" t="s">
        <v>11</v>
      </c>
      <c r="D4" s="5" t="s">
        <v>12</v>
      </c>
    </row>
    <row r="5" spans="1:4" ht="26.25" thickBot="1" x14ac:dyDescent="0.3">
      <c r="A5" s="56"/>
      <c r="B5" s="4">
        <v>4</v>
      </c>
      <c r="C5" s="5" t="s">
        <v>13</v>
      </c>
      <c r="D5" s="5" t="s">
        <v>14</v>
      </c>
    </row>
    <row r="6" spans="1:4" ht="26.25" thickBot="1" x14ac:dyDescent="0.3">
      <c r="A6" s="55" t="s">
        <v>15</v>
      </c>
      <c r="B6" s="4">
        <v>5</v>
      </c>
      <c r="C6" s="5" t="s">
        <v>16</v>
      </c>
      <c r="D6" s="5" t="s">
        <v>17</v>
      </c>
    </row>
    <row r="7" spans="1:4" ht="26.25" thickBot="1" x14ac:dyDescent="0.3">
      <c r="A7" s="57"/>
      <c r="B7" s="4">
        <v>6</v>
      </c>
      <c r="C7" s="5" t="s">
        <v>18</v>
      </c>
      <c r="D7" s="5" t="s">
        <v>19</v>
      </c>
    </row>
    <row r="8" spans="1:4" ht="15.75" thickBot="1" x14ac:dyDescent="0.3">
      <c r="A8" s="57"/>
      <c r="B8" s="4">
        <v>7</v>
      </c>
      <c r="C8" s="5" t="s">
        <v>20</v>
      </c>
      <c r="D8" s="5" t="s">
        <v>21</v>
      </c>
    </row>
    <row r="9" spans="1:4" ht="26.25" thickBot="1" x14ac:dyDescent="0.3">
      <c r="A9" s="57"/>
      <c r="B9" s="4">
        <v>8</v>
      </c>
      <c r="C9" s="5" t="s">
        <v>22</v>
      </c>
      <c r="D9" s="5" t="s">
        <v>23</v>
      </c>
    </row>
    <row r="10" spans="1:4" ht="15.75" thickBot="1" x14ac:dyDescent="0.3">
      <c r="A10" s="56"/>
      <c r="B10" s="4">
        <v>9</v>
      </c>
      <c r="C10" s="5" t="s">
        <v>24</v>
      </c>
      <c r="D10" s="5" t="s">
        <v>25</v>
      </c>
    </row>
    <row r="11" spans="1:4" ht="15.75" thickBot="1" x14ac:dyDescent="0.3">
      <c r="A11" s="53" t="s">
        <v>26</v>
      </c>
      <c r="B11" s="7">
        <v>10</v>
      </c>
      <c r="C11" s="8" t="s">
        <v>27</v>
      </c>
      <c r="D11" s="8" t="s">
        <v>28</v>
      </c>
    </row>
    <row r="12" spans="1:4" ht="26.25" thickBot="1" x14ac:dyDescent="0.3">
      <c r="A12" s="58"/>
      <c r="B12" s="7">
        <v>11</v>
      </c>
      <c r="C12" s="8" t="s">
        <v>29</v>
      </c>
      <c r="D12" s="8" t="s">
        <v>30</v>
      </c>
    </row>
    <row r="13" spans="1:4" ht="26.25" thickBot="1" x14ac:dyDescent="0.3">
      <c r="A13" s="58"/>
      <c r="B13" s="7">
        <v>12</v>
      </c>
      <c r="C13" s="8" t="s">
        <v>31</v>
      </c>
      <c r="D13" s="8" t="s">
        <v>32</v>
      </c>
    </row>
    <row r="14" spans="1:4" ht="15.75" thickBot="1" x14ac:dyDescent="0.3">
      <c r="A14" s="54"/>
      <c r="B14" s="7">
        <v>13</v>
      </c>
      <c r="C14" s="8" t="s">
        <v>33</v>
      </c>
      <c r="D14" s="8" t="s">
        <v>34</v>
      </c>
    </row>
    <row r="15" spans="1:4" ht="26.25" thickBot="1" x14ac:dyDescent="0.3">
      <c r="A15" s="53" t="s">
        <v>35</v>
      </c>
      <c r="B15" s="7">
        <v>14</v>
      </c>
      <c r="C15" s="8" t="s">
        <v>36</v>
      </c>
      <c r="D15" s="8" t="s">
        <v>37</v>
      </c>
    </row>
    <row r="16" spans="1:4" ht="15.75" thickBot="1" x14ac:dyDescent="0.3">
      <c r="A16" s="54"/>
      <c r="B16" s="7">
        <v>15</v>
      </c>
      <c r="C16" s="8" t="s">
        <v>38</v>
      </c>
      <c r="D16" s="8" t="s">
        <v>39</v>
      </c>
    </row>
    <row r="17" spans="1:4" ht="77.25" thickBot="1" x14ac:dyDescent="0.3">
      <c r="A17" s="53" t="s">
        <v>40</v>
      </c>
      <c r="B17" s="7">
        <v>16</v>
      </c>
      <c r="C17" s="8" t="s">
        <v>41</v>
      </c>
      <c r="D17" s="8" t="s">
        <v>42</v>
      </c>
    </row>
    <row r="18" spans="1:4" ht="26.25" thickBot="1" x14ac:dyDescent="0.3">
      <c r="A18" s="58"/>
      <c r="B18" s="7">
        <v>17</v>
      </c>
      <c r="C18" s="8" t="s">
        <v>43</v>
      </c>
      <c r="D18" s="8" t="s">
        <v>44</v>
      </c>
    </row>
    <row r="19" spans="1:4" ht="15.75" thickBot="1" x14ac:dyDescent="0.3">
      <c r="A19" s="58"/>
      <c r="B19" s="7">
        <v>18</v>
      </c>
      <c r="C19" s="8" t="s">
        <v>45</v>
      </c>
      <c r="D19" s="8" t="s">
        <v>44</v>
      </c>
    </row>
    <row r="20" spans="1:4" ht="15.75" thickBot="1" x14ac:dyDescent="0.3">
      <c r="A20" s="54"/>
      <c r="B20" s="7">
        <v>19</v>
      </c>
      <c r="C20" s="8" t="s">
        <v>46</v>
      </c>
      <c r="D20" s="8" t="s">
        <v>25</v>
      </c>
    </row>
    <row r="21" spans="1:4" ht="39" thickBot="1" x14ac:dyDescent="0.3">
      <c r="A21" s="53" t="s">
        <v>47</v>
      </c>
      <c r="B21" s="7">
        <v>20</v>
      </c>
      <c r="C21" s="8" t="s">
        <v>48</v>
      </c>
      <c r="D21" s="8" t="s">
        <v>49</v>
      </c>
    </row>
    <row r="22" spans="1:4" ht="15.75" thickBot="1" x14ac:dyDescent="0.3">
      <c r="A22" s="54"/>
      <c r="B22" s="7">
        <v>21</v>
      </c>
      <c r="C22" s="8" t="s">
        <v>50</v>
      </c>
      <c r="D22" s="8" t="s">
        <v>51</v>
      </c>
    </row>
    <row r="23" spans="1:4" x14ac:dyDescent="0.25">
      <c r="A23" s="6"/>
    </row>
  </sheetData>
  <mergeCells count="6">
    <mergeCell ref="A21:A22"/>
    <mergeCell ref="A4:A5"/>
    <mergeCell ref="A6:A10"/>
    <mergeCell ref="A11:A14"/>
    <mergeCell ref="A15:A16"/>
    <mergeCell ref="A17:A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1"/>
  <sheetViews>
    <sheetView workbookViewId="0">
      <selection activeCell="D15" sqref="D15"/>
    </sheetView>
  </sheetViews>
  <sheetFormatPr defaultColWidth="11.42578125" defaultRowHeight="15" x14ac:dyDescent="0.25"/>
  <cols>
    <col min="1" max="1" width="8.85546875" style="6" bestFit="1" customWidth="1"/>
    <col min="2" max="2" width="9" style="6" bestFit="1" customWidth="1"/>
    <col min="3" max="3" width="10" style="6" bestFit="1" customWidth="1"/>
    <col min="4" max="4" width="58.28515625" style="6" bestFit="1" customWidth="1"/>
    <col min="5" max="5" width="39.140625" style="6" bestFit="1" customWidth="1"/>
    <col min="6" max="6" width="11.140625" style="16" bestFit="1" customWidth="1"/>
    <col min="7" max="7" width="18" style="6" bestFit="1" customWidth="1"/>
    <col min="8" max="8" width="78.42578125" style="6" customWidth="1"/>
    <col min="9" max="9" width="9.28515625" style="6" customWidth="1"/>
    <col min="10" max="16384" width="11.42578125" style="6"/>
  </cols>
  <sheetData>
    <row r="1" spans="1:9" ht="25.5" x14ac:dyDescent="0.25">
      <c r="A1" s="10" t="s">
        <v>99</v>
      </c>
      <c r="B1" s="10" t="s">
        <v>63</v>
      </c>
      <c r="C1" s="10" t="s">
        <v>58</v>
      </c>
      <c r="D1" s="10" t="s">
        <v>52</v>
      </c>
      <c r="E1" s="10" t="s">
        <v>54</v>
      </c>
      <c r="F1" s="10" t="s">
        <v>134</v>
      </c>
      <c r="G1" s="10" t="s">
        <v>135</v>
      </c>
      <c r="H1" s="10" t="s">
        <v>102</v>
      </c>
      <c r="I1" s="10" t="str">
        <f>A1</f>
        <v>Service Id.</v>
      </c>
    </row>
    <row r="2" spans="1:9" x14ac:dyDescent="0.25">
      <c r="A2" s="31">
        <v>1</v>
      </c>
      <c r="B2" s="32" t="s">
        <v>4</v>
      </c>
      <c r="C2" s="32">
        <v>1</v>
      </c>
      <c r="D2" s="33" t="s">
        <v>53</v>
      </c>
      <c r="E2" s="35"/>
      <c r="F2" s="34" t="s">
        <v>132</v>
      </c>
      <c r="G2" s="31" t="s">
        <v>100</v>
      </c>
      <c r="H2" s="31" t="s">
        <v>101</v>
      </c>
      <c r="I2" s="36">
        <f>A2</f>
        <v>1</v>
      </c>
    </row>
    <row r="3" spans="1:9" x14ac:dyDescent="0.25">
      <c r="A3" s="31">
        <f>A2+1</f>
        <v>2</v>
      </c>
      <c r="B3" s="32" t="s">
        <v>7</v>
      </c>
      <c r="C3" s="32">
        <v>2</v>
      </c>
      <c r="D3" s="33" t="s">
        <v>55</v>
      </c>
      <c r="E3" s="31"/>
      <c r="F3" s="34" t="s">
        <v>132</v>
      </c>
      <c r="G3" s="31" t="s">
        <v>103</v>
      </c>
      <c r="H3" s="31" t="s">
        <v>104</v>
      </c>
      <c r="I3" s="31">
        <f t="shared" ref="I3:I31" si="0">A3</f>
        <v>2</v>
      </c>
    </row>
    <row r="4" spans="1:9" x14ac:dyDescent="0.25">
      <c r="A4" s="14">
        <f t="shared" ref="A4:A31" si="1">A3+1</f>
        <v>3</v>
      </c>
      <c r="B4" s="11" t="s">
        <v>56</v>
      </c>
      <c r="C4" s="11">
        <v>3</v>
      </c>
      <c r="D4" s="13" t="s">
        <v>57</v>
      </c>
      <c r="E4" s="14"/>
      <c r="F4" s="15" t="s">
        <v>133</v>
      </c>
      <c r="G4" s="14" t="s">
        <v>105</v>
      </c>
      <c r="H4" s="14" t="s">
        <v>105</v>
      </c>
      <c r="I4" s="14">
        <f t="shared" si="0"/>
        <v>3</v>
      </c>
    </row>
    <row r="5" spans="1:9" x14ac:dyDescent="0.25">
      <c r="A5" s="14">
        <f t="shared" si="1"/>
        <v>4</v>
      </c>
      <c r="B5" s="11" t="s">
        <v>56</v>
      </c>
      <c r="C5" s="11">
        <v>4</v>
      </c>
      <c r="D5" s="13" t="s">
        <v>59</v>
      </c>
      <c r="E5" s="14"/>
      <c r="F5" s="15" t="s">
        <v>133</v>
      </c>
      <c r="G5" s="14" t="s">
        <v>105</v>
      </c>
      <c r="H5" s="14" t="s">
        <v>105</v>
      </c>
      <c r="I5" s="14">
        <f t="shared" si="0"/>
        <v>4</v>
      </c>
    </row>
    <row r="6" spans="1:9" ht="30" x14ac:dyDescent="0.25">
      <c r="A6" s="14">
        <f t="shared" si="1"/>
        <v>5</v>
      </c>
      <c r="B6" s="12" t="s">
        <v>15</v>
      </c>
      <c r="C6" s="12">
        <v>8</v>
      </c>
      <c r="D6" s="13" t="s">
        <v>60</v>
      </c>
      <c r="E6" s="14"/>
      <c r="F6" s="15" t="s">
        <v>133</v>
      </c>
      <c r="G6" s="14" t="s">
        <v>105</v>
      </c>
      <c r="H6" s="14" t="s">
        <v>105</v>
      </c>
      <c r="I6" s="14">
        <f t="shared" si="0"/>
        <v>5</v>
      </c>
    </row>
    <row r="7" spans="1:9" x14ac:dyDescent="0.25">
      <c r="A7" s="14">
        <f t="shared" si="1"/>
        <v>6</v>
      </c>
      <c r="B7" s="12" t="s">
        <v>15</v>
      </c>
      <c r="C7" s="12">
        <v>6</v>
      </c>
      <c r="D7" s="13" t="s">
        <v>62</v>
      </c>
      <c r="E7" s="14"/>
      <c r="F7" s="15" t="s">
        <v>133</v>
      </c>
      <c r="G7" s="14" t="s">
        <v>105</v>
      </c>
      <c r="H7" s="14" t="s">
        <v>105</v>
      </c>
      <c r="I7" s="14">
        <f t="shared" si="0"/>
        <v>6</v>
      </c>
    </row>
    <row r="8" spans="1:9" x14ac:dyDescent="0.25">
      <c r="A8" s="31">
        <f t="shared" si="1"/>
        <v>7</v>
      </c>
      <c r="B8" s="32" t="s">
        <v>15</v>
      </c>
      <c r="C8" s="32">
        <v>7</v>
      </c>
      <c r="D8" s="33" t="s">
        <v>61</v>
      </c>
      <c r="E8" s="31"/>
      <c r="F8" s="34" t="s">
        <v>132</v>
      </c>
      <c r="G8" s="31" t="s">
        <v>110</v>
      </c>
      <c r="H8" s="31" t="s">
        <v>111</v>
      </c>
      <c r="I8" s="31">
        <f t="shared" si="0"/>
        <v>7</v>
      </c>
    </row>
    <row r="9" spans="1:9" x14ac:dyDescent="0.25">
      <c r="A9" s="31">
        <f t="shared" si="1"/>
        <v>8</v>
      </c>
      <c r="B9" s="32" t="s">
        <v>26</v>
      </c>
      <c r="C9" s="32">
        <v>10</v>
      </c>
      <c r="D9" s="33" t="s">
        <v>64</v>
      </c>
      <c r="E9" s="31"/>
      <c r="F9" s="34" t="s">
        <v>132</v>
      </c>
      <c r="G9" s="31" t="s">
        <v>109</v>
      </c>
      <c r="H9" s="31" t="s">
        <v>108</v>
      </c>
      <c r="I9" s="31">
        <f t="shared" si="0"/>
        <v>8</v>
      </c>
    </row>
    <row r="10" spans="1:9" x14ac:dyDescent="0.25">
      <c r="A10" s="31">
        <f t="shared" si="1"/>
        <v>9</v>
      </c>
      <c r="B10" s="32" t="s">
        <v>35</v>
      </c>
      <c r="C10" s="32">
        <v>15</v>
      </c>
      <c r="D10" s="33" t="s">
        <v>65</v>
      </c>
      <c r="E10" s="31"/>
      <c r="F10" s="34" t="s">
        <v>132</v>
      </c>
      <c r="G10" s="31" t="s">
        <v>107</v>
      </c>
      <c r="H10" s="31" t="s">
        <v>106</v>
      </c>
      <c r="I10" s="31">
        <f t="shared" si="0"/>
        <v>9</v>
      </c>
    </row>
    <row r="11" spans="1:9" x14ac:dyDescent="0.25">
      <c r="A11" s="31">
        <f t="shared" si="1"/>
        <v>10</v>
      </c>
      <c r="B11" s="32" t="s">
        <v>66</v>
      </c>
      <c r="C11" s="32">
        <v>16</v>
      </c>
      <c r="D11" s="33" t="s">
        <v>200</v>
      </c>
      <c r="E11" s="31" t="s">
        <v>199</v>
      </c>
      <c r="F11" s="34" t="s">
        <v>132</v>
      </c>
      <c r="G11" s="31" t="s">
        <v>113</v>
      </c>
      <c r="H11" s="31" t="s">
        <v>112</v>
      </c>
      <c r="I11" s="31">
        <f t="shared" si="0"/>
        <v>10</v>
      </c>
    </row>
    <row r="12" spans="1:9" x14ac:dyDescent="0.25">
      <c r="A12" s="14">
        <f t="shared" si="1"/>
        <v>11</v>
      </c>
      <c r="B12" s="12" t="s">
        <v>66</v>
      </c>
      <c r="C12" s="12">
        <v>16</v>
      </c>
      <c r="D12" s="13" t="s">
        <v>86</v>
      </c>
      <c r="E12" s="14"/>
      <c r="F12" s="15" t="s">
        <v>133</v>
      </c>
      <c r="G12" s="14" t="s">
        <v>105</v>
      </c>
      <c r="H12" s="14" t="s">
        <v>105</v>
      </c>
      <c r="I12" s="14">
        <f t="shared" si="0"/>
        <v>11</v>
      </c>
    </row>
    <row r="13" spans="1:9" ht="30" x14ac:dyDescent="0.25">
      <c r="A13" s="31">
        <f t="shared" si="1"/>
        <v>12</v>
      </c>
      <c r="B13" s="32" t="s">
        <v>66</v>
      </c>
      <c r="C13" s="32">
        <v>16</v>
      </c>
      <c r="D13" s="33" t="s">
        <v>67</v>
      </c>
      <c r="E13" s="31" t="s">
        <v>68</v>
      </c>
      <c r="F13" s="34" t="s">
        <v>132</v>
      </c>
      <c r="G13" s="31" t="s">
        <v>136</v>
      </c>
      <c r="H13" s="31" t="s">
        <v>137</v>
      </c>
      <c r="I13" s="31">
        <f t="shared" si="0"/>
        <v>12</v>
      </c>
    </row>
    <row r="14" spans="1:9" ht="30" x14ac:dyDescent="0.25">
      <c r="A14" s="31">
        <f t="shared" si="1"/>
        <v>13</v>
      </c>
      <c r="B14" s="32" t="s">
        <v>66</v>
      </c>
      <c r="C14" s="32">
        <v>16</v>
      </c>
      <c r="D14" s="33" t="s">
        <v>69</v>
      </c>
      <c r="E14" s="31" t="s">
        <v>70</v>
      </c>
      <c r="F14" s="34" t="s">
        <v>132</v>
      </c>
      <c r="G14" s="31" t="s">
        <v>115</v>
      </c>
      <c r="H14" s="31" t="s">
        <v>114</v>
      </c>
      <c r="I14" s="31">
        <f t="shared" si="0"/>
        <v>13</v>
      </c>
    </row>
    <row r="15" spans="1:9" x14ac:dyDescent="0.25">
      <c r="A15" s="31">
        <f t="shared" si="1"/>
        <v>14</v>
      </c>
      <c r="B15" s="32" t="s">
        <v>66</v>
      </c>
      <c r="C15" s="32">
        <v>16</v>
      </c>
      <c r="D15" s="33" t="s">
        <v>71</v>
      </c>
      <c r="E15" s="31" t="s">
        <v>72</v>
      </c>
      <c r="F15" s="34" t="s">
        <v>132</v>
      </c>
      <c r="G15" s="31" t="s">
        <v>116</v>
      </c>
      <c r="H15" s="31" t="s">
        <v>117</v>
      </c>
      <c r="I15" s="31">
        <f t="shared" si="0"/>
        <v>14</v>
      </c>
    </row>
    <row r="16" spans="1:9" ht="30" x14ac:dyDescent="0.25">
      <c r="A16" s="31">
        <f t="shared" si="1"/>
        <v>15</v>
      </c>
      <c r="B16" s="32" t="s">
        <v>66</v>
      </c>
      <c r="C16" s="32">
        <v>16</v>
      </c>
      <c r="D16" s="33" t="s">
        <v>73</v>
      </c>
      <c r="E16" s="31" t="s">
        <v>74</v>
      </c>
      <c r="F16" s="34" t="s">
        <v>132</v>
      </c>
      <c r="G16" s="31" t="s">
        <v>119</v>
      </c>
      <c r="H16" s="31" t="s">
        <v>118</v>
      </c>
      <c r="I16" s="31">
        <f t="shared" si="0"/>
        <v>15</v>
      </c>
    </row>
    <row r="17" spans="1:9" x14ac:dyDescent="0.25">
      <c r="A17" s="14">
        <f t="shared" si="1"/>
        <v>16</v>
      </c>
      <c r="B17" s="12" t="s">
        <v>66</v>
      </c>
      <c r="C17" s="12">
        <v>16</v>
      </c>
      <c r="D17" s="13" t="s">
        <v>75</v>
      </c>
      <c r="E17" s="14" t="s">
        <v>76</v>
      </c>
      <c r="F17" s="15" t="s">
        <v>133</v>
      </c>
      <c r="G17" s="14" t="s">
        <v>105</v>
      </c>
      <c r="H17" s="14" t="s">
        <v>105</v>
      </c>
      <c r="I17" s="14">
        <f t="shared" si="0"/>
        <v>16</v>
      </c>
    </row>
    <row r="18" spans="1:9" x14ac:dyDescent="0.25">
      <c r="A18" s="31">
        <f t="shared" si="1"/>
        <v>17</v>
      </c>
      <c r="B18" s="32" t="s">
        <v>66</v>
      </c>
      <c r="C18" s="32">
        <v>16</v>
      </c>
      <c r="D18" s="33" t="s">
        <v>83</v>
      </c>
      <c r="E18" s="31" t="s">
        <v>84</v>
      </c>
      <c r="F18" s="34" t="s">
        <v>132</v>
      </c>
      <c r="G18" s="31" t="s">
        <v>131</v>
      </c>
      <c r="H18" s="31" t="s">
        <v>130</v>
      </c>
      <c r="I18" s="31">
        <f t="shared" si="0"/>
        <v>17</v>
      </c>
    </row>
    <row r="19" spans="1:9" x14ac:dyDescent="0.25">
      <c r="A19" s="31">
        <f t="shared" si="1"/>
        <v>18</v>
      </c>
      <c r="B19" s="32" t="s">
        <v>66</v>
      </c>
      <c r="C19" s="32">
        <v>16</v>
      </c>
      <c r="D19" s="33" t="s">
        <v>85</v>
      </c>
      <c r="E19" s="31" t="s">
        <v>76</v>
      </c>
      <c r="F19" s="34" t="s">
        <v>132</v>
      </c>
      <c r="G19" s="31" t="s">
        <v>120</v>
      </c>
      <c r="H19" s="31" t="s">
        <v>121</v>
      </c>
      <c r="I19" s="31">
        <f t="shared" si="0"/>
        <v>18</v>
      </c>
    </row>
    <row r="20" spans="1:9" x14ac:dyDescent="0.25">
      <c r="A20" s="31">
        <f t="shared" si="1"/>
        <v>19</v>
      </c>
      <c r="B20" s="32" t="s">
        <v>66</v>
      </c>
      <c r="C20" s="32">
        <v>16</v>
      </c>
      <c r="D20" s="33" t="s">
        <v>87</v>
      </c>
      <c r="E20" s="31" t="s">
        <v>88</v>
      </c>
      <c r="F20" s="34" t="s">
        <v>132</v>
      </c>
      <c r="G20" s="31" t="s">
        <v>122</v>
      </c>
      <c r="H20" s="31" t="s">
        <v>123</v>
      </c>
      <c r="I20" s="31">
        <f t="shared" si="0"/>
        <v>19</v>
      </c>
    </row>
    <row r="21" spans="1:9" ht="30" x14ac:dyDescent="0.25">
      <c r="A21" s="31">
        <f t="shared" si="1"/>
        <v>20</v>
      </c>
      <c r="B21" s="32" t="s">
        <v>66</v>
      </c>
      <c r="C21" s="32">
        <v>16</v>
      </c>
      <c r="D21" s="33" t="s">
        <v>89</v>
      </c>
      <c r="E21" s="31" t="s">
        <v>90</v>
      </c>
      <c r="F21" s="34" t="s">
        <v>132</v>
      </c>
      <c r="G21" s="31" t="s">
        <v>124</v>
      </c>
      <c r="H21" s="31" t="s">
        <v>125</v>
      </c>
      <c r="I21" s="31">
        <f t="shared" si="0"/>
        <v>20</v>
      </c>
    </row>
    <row r="22" spans="1:9" x14ac:dyDescent="0.25">
      <c r="A22" s="31">
        <f t="shared" si="1"/>
        <v>21</v>
      </c>
      <c r="B22" s="32" t="s">
        <v>66</v>
      </c>
      <c r="C22" s="32">
        <v>16</v>
      </c>
      <c r="D22" s="33" t="s">
        <v>91</v>
      </c>
      <c r="E22" s="31" t="s">
        <v>92</v>
      </c>
      <c r="F22" s="34" t="s">
        <v>132</v>
      </c>
      <c r="G22" s="31" t="s">
        <v>127</v>
      </c>
      <c r="H22" s="31" t="s">
        <v>126</v>
      </c>
      <c r="I22" s="31">
        <f t="shared" si="0"/>
        <v>21</v>
      </c>
    </row>
    <row r="23" spans="1:9" x14ac:dyDescent="0.25">
      <c r="A23" s="31">
        <f t="shared" si="1"/>
        <v>22</v>
      </c>
      <c r="B23" s="32" t="s">
        <v>66</v>
      </c>
      <c r="C23" s="32">
        <v>16</v>
      </c>
      <c r="D23" s="33" t="s">
        <v>93</v>
      </c>
      <c r="E23" s="31" t="s">
        <v>94</v>
      </c>
      <c r="F23" s="34" t="s">
        <v>132</v>
      </c>
      <c r="G23" s="31" t="s">
        <v>128</v>
      </c>
      <c r="H23" s="31" t="s">
        <v>129</v>
      </c>
      <c r="I23" s="31">
        <f t="shared" si="0"/>
        <v>22</v>
      </c>
    </row>
    <row r="24" spans="1:9" x14ac:dyDescent="0.25">
      <c r="A24" s="14">
        <f t="shared" si="1"/>
        <v>23</v>
      </c>
      <c r="B24" s="12" t="s">
        <v>66</v>
      </c>
      <c r="C24" s="12">
        <v>16</v>
      </c>
      <c r="D24" s="13" t="s">
        <v>98</v>
      </c>
      <c r="E24" s="14" t="s">
        <v>84</v>
      </c>
      <c r="F24" s="15" t="s">
        <v>132</v>
      </c>
      <c r="G24" s="14" t="s">
        <v>105</v>
      </c>
      <c r="H24" s="14" t="s">
        <v>105</v>
      </c>
      <c r="I24" s="14">
        <f t="shared" si="0"/>
        <v>23</v>
      </c>
    </row>
    <row r="25" spans="1:9" x14ac:dyDescent="0.25">
      <c r="A25" s="14">
        <f t="shared" si="1"/>
        <v>24</v>
      </c>
      <c r="B25" s="12" t="s">
        <v>66</v>
      </c>
      <c r="C25" s="12">
        <v>16</v>
      </c>
      <c r="D25" s="13" t="s">
        <v>95</v>
      </c>
      <c r="E25" s="14" t="s">
        <v>96</v>
      </c>
      <c r="F25" s="15" t="s">
        <v>133</v>
      </c>
      <c r="G25" s="14" t="s">
        <v>105</v>
      </c>
      <c r="H25" s="14" t="s">
        <v>105</v>
      </c>
      <c r="I25" s="14">
        <f t="shared" si="0"/>
        <v>24</v>
      </c>
    </row>
    <row r="26" spans="1:9" ht="30" x14ac:dyDescent="0.25">
      <c r="A26" s="31">
        <f t="shared" si="1"/>
        <v>25</v>
      </c>
      <c r="B26" s="32" t="s">
        <v>66</v>
      </c>
      <c r="C26" s="32">
        <v>16</v>
      </c>
      <c r="D26" s="33" t="s">
        <v>97</v>
      </c>
      <c r="E26" s="31" t="s">
        <v>90</v>
      </c>
      <c r="F26" s="34" t="s">
        <v>132</v>
      </c>
      <c r="G26" s="31" t="s">
        <v>115</v>
      </c>
      <c r="H26" s="31" t="s">
        <v>114</v>
      </c>
      <c r="I26" s="31">
        <f t="shared" si="0"/>
        <v>25</v>
      </c>
    </row>
    <row r="27" spans="1:9" x14ac:dyDescent="0.25">
      <c r="A27" s="14">
        <f t="shared" si="1"/>
        <v>26</v>
      </c>
      <c r="B27" s="12" t="s">
        <v>66</v>
      </c>
      <c r="C27" s="12">
        <v>17</v>
      </c>
      <c r="D27" s="13" t="s">
        <v>80</v>
      </c>
      <c r="E27" s="14"/>
      <c r="F27" s="15" t="s">
        <v>133</v>
      </c>
      <c r="G27" s="14" t="s">
        <v>105</v>
      </c>
      <c r="H27" s="14" t="s">
        <v>105</v>
      </c>
      <c r="I27" s="14">
        <f t="shared" si="0"/>
        <v>26</v>
      </c>
    </row>
    <row r="28" spans="1:9" x14ac:dyDescent="0.25">
      <c r="A28" s="14">
        <f t="shared" si="1"/>
        <v>27</v>
      </c>
      <c r="B28" s="12" t="s">
        <v>66</v>
      </c>
      <c r="C28" s="12">
        <v>18</v>
      </c>
      <c r="D28" s="13" t="s">
        <v>78</v>
      </c>
      <c r="E28" s="14"/>
      <c r="F28" s="15" t="s">
        <v>133</v>
      </c>
      <c r="G28" s="14" t="s">
        <v>105</v>
      </c>
      <c r="H28" s="14" t="s">
        <v>105</v>
      </c>
      <c r="I28" s="14">
        <f t="shared" si="0"/>
        <v>27</v>
      </c>
    </row>
    <row r="29" spans="1:9" x14ac:dyDescent="0.25">
      <c r="A29" s="14">
        <f t="shared" si="1"/>
        <v>28</v>
      </c>
      <c r="B29" s="12" t="s">
        <v>66</v>
      </c>
      <c r="C29" s="12">
        <v>19</v>
      </c>
      <c r="D29" s="13" t="s">
        <v>82</v>
      </c>
      <c r="E29" s="14"/>
      <c r="F29" s="15" t="s">
        <v>133</v>
      </c>
      <c r="G29" s="14" t="s">
        <v>105</v>
      </c>
      <c r="H29" s="14" t="s">
        <v>105</v>
      </c>
      <c r="I29" s="14">
        <f t="shared" si="0"/>
        <v>28</v>
      </c>
    </row>
    <row r="30" spans="1:9" x14ac:dyDescent="0.25">
      <c r="A30" s="14">
        <f t="shared" si="1"/>
        <v>29</v>
      </c>
      <c r="B30" s="12" t="s">
        <v>77</v>
      </c>
      <c r="C30" s="12">
        <v>20</v>
      </c>
      <c r="D30" s="13" t="s">
        <v>79</v>
      </c>
      <c r="E30" s="14"/>
      <c r="F30" s="15" t="s">
        <v>133</v>
      </c>
      <c r="G30" s="14" t="s">
        <v>105</v>
      </c>
      <c r="H30" s="14" t="s">
        <v>105</v>
      </c>
      <c r="I30" s="14">
        <f t="shared" si="0"/>
        <v>29</v>
      </c>
    </row>
    <row r="31" spans="1:9" ht="30" x14ac:dyDescent="0.25">
      <c r="A31" s="14">
        <f t="shared" si="1"/>
        <v>30</v>
      </c>
      <c r="B31" s="12" t="s">
        <v>77</v>
      </c>
      <c r="C31" s="12">
        <v>21</v>
      </c>
      <c r="D31" s="13" t="s">
        <v>81</v>
      </c>
      <c r="E31" s="14"/>
      <c r="F31" s="15" t="s">
        <v>133</v>
      </c>
      <c r="G31" s="14" t="s">
        <v>105</v>
      </c>
      <c r="H31" s="14" t="s">
        <v>105</v>
      </c>
      <c r="I31" s="14">
        <f t="shared" si="0"/>
        <v>30</v>
      </c>
    </row>
  </sheetData>
  <hyperlinks>
    <hyperlink ref="D2" r:id="rId1" display="Certificado de Nacimiento"/>
    <hyperlink ref="D3" r:id="rId2"/>
    <hyperlink ref="D4" r:id="rId3"/>
    <hyperlink ref="D5" r:id="rId4"/>
    <hyperlink ref="D6" r:id="rId5"/>
    <hyperlink ref="D7" r:id="rId6" display="Modificación de datos de pensiones"/>
    <hyperlink ref="D8" r:id="rId7"/>
    <hyperlink ref="D9" r:id="rId8"/>
    <hyperlink ref="D10" r:id="rId9"/>
    <hyperlink ref="D11" r:id="rId10"/>
    <hyperlink ref="D12" r:id="rId11" display="import, export, manufacturing of non-registered medicines"/>
    <hyperlink ref="D13" r:id="rId12"/>
    <hyperlink ref="D14" r:id="rId13"/>
    <hyperlink ref="D15" r:id="rId14"/>
    <hyperlink ref="D16" r:id="rId15"/>
    <hyperlink ref="D17" r:id="rId16"/>
    <hyperlink ref="D28" r:id="rId17"/>
    <hyperlink ref="D30" r:id="rId18"/>
    <hyperlink ref="D27" r:id="rId19" display="http://tramites.administracion.gob.es/comunidad/tramites/recurso/inscripcion-y-asignacion-codigo-cuenta-cotizacion/5282bc14-e018-4c6b-b524-913f3517b879?searchid=6937250c-4f56-5dc5-02fa-70625a514777"/>
    <hyperlink ref="D31" r:id="rId20"/>
    <hyperlink ref="D29" r:id="rId21"/>
    <hyperlink ref="D18" r:id="rId22"/>
    <hyperlink ref="D19" r:id="rId23"/>
    <hyperlink ref="D20" r:id="rId24"/>
    <hyperlink ref="D21" r:id="rId25"/>
    <hyperlink ref="D22" r:id="rId26"/>
    <hyperlink ref="D23" r:id="rId27"/>
    <hyperlink ref="D25" r:id="rId28"/>
    <hyperlink ref="D26" r:id="rId29"/>
    <hyperlink ref="D24" r:id="rId30"/>
    <hyperlink ref="G2" r:id="rId31" display="https://preprod.ces.ama.gov.pt/web/guest/servicos?p_p_id=cespublicservice_WAR_cesportal&amp;p_p_lifecycle=0&amp;p_p_state=normal&amp;p_p_mode=view&amp;_cespublicservice_WAR_cesportal_id=41&amp;_cespublicservice_WAR_cesportal_render=detail&amp;_cespublicservice_WAR_cesportal_version=1"/>
    <hyperlink ref="G3" r:id="rId32" display="https://preprod.ces.ama.gov.pt/web/guest/servicos?p_p_id=cespublicservice_WAR_cesportal&amp;p_p_lifecycle=0&amp;p_p_state=normal&amp;p_p_mode=view&amp;_cespublicservice_WAR_cesportal_id=1775&amp;_cespublicservice_WAR_cesportal_render=detail&amp;_cespublicservice_WAR_cesportal_version=1"/>
  </hyperlinks>
  <pageMargins left="0.7" right="0.7" top="0.75" bottom="0.75" header="0.3" footer="0.3"/>
  <pageSetup paperSize="9" orientation="portrait" r:id="rId3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workbookViewId="0">
      <pane ySplit="1" topLeftCell="A27" activePane="bottomLeft" state="frozen"/>
      <selection activeCell="C1" sqref="C1"/>
      <selection pane="bottomLeft" activeCell="F3" sqref="F3:F32"/>
    </sheetView>
  </sheetViews>
  <sheetFormatPr defaultColWidth="11.42578125" defaultRowHeight="15" x14ac:dyDescent="0.25"/>
  <cols>
    <col min="1" max="1" width="15.5703125" style="17" customWidth="1"/>
    <col min="2" max="2" width="11.42578125" style="17"/>
    <col min="3" max="3" width="28.5703125" style="17" customWidth="1"/>
    <col min="4" max="4" width="67" style="17" customWidth="1"/>
    <col min="5" max="5" width="25.140625" style="17" customWidth="1"/>
    <col min="6" max="6" width="11.42578125" style="17"/>
    <col min="7" max="7" width="16.140625" style="25" customWidth="1"/>
    <col min="8" max="8" width="23.85546875" style="17" customWidth="1"/>
    <col min="9" max="9" width="22" style="25" customWidth="1"/>
    <col min="10" max="10" width="29.28515625" style="17" customWidth="1"/>
    <col min="11" max="11" width="17.85546875" style="25" customWidth="1"/>
    <col min="12" max="14" width="17.85546875" style="17" customWidth="1"/>
    <col min="15" max="15" width="17.85546875" style="25" customWidth="1"/>
    <col min="16" max="16384" width="11.42578125" style="17"/>
  </cols>
  <sheetData>
    <row r="1" spans="1:16" x14ac:dyDescent="0.25">
      <c r="A1" s="43"/>
      <c r="B1" s="59" t="s">
        <v>151</v>
      </c>
      <c r="C1" s="60"/>
      <c r="D1" s="60"/>
      <c r="E1" s="60"/>
      <c r="F1" s="60"/>
      <c r="G1" s="61"/>
      <c r="H1" s="59" t="s">
        <v>152</v>
      </c>
      <c r="I1" s="61"/>
      <c r="J1" s="59" t="s">
        <v>148</v>
      </c>
      <c r="K1" s="61"/>
      <c r="L1" s="59" t="s">
        <v>160</v>
      </c>
      <c r="M1" s="60"/>
      <c r="N1" s="60"/>
      <c r="O1" s="61"/>
      <c r="P1" s="41" t="s">
        <v>165</v>
      </c>
    </row>
    <row r="2" spans="1:16" ht="28.5" customHeight="1" x14ac:dyDescent="0.25">
      <c r="A2" s="37" t="s">
        <v>143</v>
      </c>
      <c r="B2" s="44" t="s">
        <v>138</v>
      </c>
      <c r="C2" s="44" t="s">
        <v>139</v>
      </c>
      <c r="D2" s="44" t="s">
        <v>140</v>
      </c>
      <c r="E2" s="44" t="s">
        <v>141</v>
      </c>
      <c r="F2" s="44" t="s">
        <v>142</v>
      </c>
      <c r="G2" s="45" t="s">
        <v>149</v>
      </c>
      <c r="H2" s="42" t="s">
        <v>153</v>
      </c>
      <c r="I2" s="51" t="s">
        <v>154</v>
      </c>
      <c r="J2" s="38" t="s">
        <v>138</v>
      </c>
      <c r="K2" s="39" t="s">
        <v>155</v>
      </c>
      <c r="L2" s="38" t="s">
        <v>161</v>
      </c>
      <c r="M2" s="37" t="s">
        <v>139</v>
      </c>
      <c r="N2" s="37" t="s">
        <v>162</v>
      </c>
      <c r="O2" s="39" t="s">
        <v>155</v>
      </c>
      <c r="P2" s="38" t="s">
        <v>158</v>
      </c>
    </row>
    <row r="3" spans="1:16" ht="285" x14ac:dyDescent="0.25">
      <c r="A3" s="17">
        <f>'ES-PT Proposal'!A2</f>
        <v>1</v>
      </c>
      <c r="B3" s="17">
        <v>109000</v>
      </c>
      <c r="C3" s="17" t="s">
        <v>147</v>
      </c>
      <c r="D3" s="17" t="s">
        <v>146</v>
      </c>
      <c r="E3" s="17" t="s">
        <v>172</v>
      </c>
      <c r="F3" s="17" t="s">
        <v>449</v>
      </c>
      <c r="G3" s="25" t="s">
        <v>150</v>
      </c>
      <c r="H3" s="17" t="s">
        <v>145</v>
      </c>
      <c r="I3" s="25" t="s">
        <v>144</v>
      </c>
      <c r="J3" s="19" t="s">
        <v>157</v>
      </c>
      <c r="K3" s="40" t="s">
        <v>156</v>
      </c>
      <c r="L3" s="21" t="s">
        <v>163</v>
      </c>
      <c r="M3" s="17" t="s">
        <v>307</v>
      </c>
      <c r="N3" s="18" t="s">
        <v>0</v>
      </c>
      <c r="O3" s="40" t="s">
        <v>164</v>
      </c>
      <c r="P3" s="17" t="s">
        <v>159</v>
      </c>
    </row>
    <row r="4" spans="1:16" ht="120" x14ac:dyDescent="0.25">
      <c r="A4" s="17">
        <f>'ES-PT Proposal'!A3</f>
        <v>2</v>
      </c>
      <c r="B4" s="20">
        <v>994455</v>
      </c>
      <c r="C4" s="17" t="s">
        <v>166</v>
      </c>
      <c r="D4" s="22" t="s">
        <v>167</v>
      </c>
      <c r="E4" s="17" t="s">
        <v>173</v>
      </c>
      <c r="F4" s="17" t="s">
        <v>449</v>
      </c>
      <c r="G4" s="25" t="s">
        <v>170</v>
      </c>
      <c r="H4" s="20" t="s">
        <v>168</v>
      </c>
      <c r="I4" s="25" t="s">
        <v>144</v>
      </c>
      <c r="J4" s="23" t="s">
        <v>169</v>
      </c>
      <c r="K4" s="25" t="s">
        <v>156</v>
      </c>
      <c r="P4" s="17" t="s">
        <v>171</v>
      </c>
    </row>
    <row r="5" spans="1:16" ht="120" x14ac:dyDescent="0.25">
      <c r="A5" s="17">
        <f>'ES-PT Proposal'!A8</f>
        <v>7</v>
      </c>
      <c r="B5" s="20">
        <v>203557</v>
      </c>
      <c r="C5" s="17" t="s">
        <v>176</v>
      </c>
      <c r="D5" s="17" t="s">
        <v>177</v>
      </c>
      <c r="E5" s="17" t="s">
        <v>178</v>
      </c>
      <c r="F5" s="17" t="s">
        <v>449</v>
      </c>
      <c r="G5" s="26" t="s">
        <v>179</v>
      </c>
      <c r="H5" s="17" t="s">
        <v>174</v>
      </c>
      <c r="I5" s="25" t="s">
        <v>144</v>
      </c>
      <c r="J5" s="19" t="s">
        <v>175</v>
      </c>
      <c r="K5" s="25" t="s">
        <v>156</v>
      </c>
      <c r="P5" s="17" t="s">
        <v>180</v>
      </c>
    </row>
    <row r="6" spans="1:16" ht="150" x14ac:dyDescent="0.25">
      <c r="A6" s="17">
        <f>'ES-PT Proposal'!A9</f>
        <v>8</v>
      </c>
      <c r="B6" s="17">
        <v>200265</v>
      </c>
      <c r="C6" s="17" t="s">
        <v>181</v>
      </c>
      <c r="D6" s="17" t="s">
        <v>182</v>
      </c>
      <c r="E6" s="17" t="s">
        <v>183</v>
      </c>
      <c r="F6" s="17" t="s">
        <v>449</v>
      </c>
      <c r="G6" s="25" t="s">
        <v>197</v>
      </c>
      <c r="H6" s="17" t="s">
        <v>186</v>
      </c>
      <c r="I6" s="25" t="s">
        <v>144</v>
      </c>
      <c r="J6" s="19" t="s">
        <v>187</v>
      </c>
      <c r="K6" s="25" t="s">
        <v>156</v>
      </c>
      <c r="L6" s="19" t="s">
        <v>184</v>
      </c>
      <c r="M6" s="17" t="s">
        <v>306</v>
      </c>
      <c r="N6" s="17" t="s">
        <v>0</v>
      </c>
      <c r="O6" s="25" t="s">
        <v>185</v>
      </c>
      <c r="P6" s="17" t="s">
        <v>188</v>
      </c>
    </row>
    <row r="7" spans="1:16" ht="60" x14ac:dyDescent="0.25">
      <c r="A7" s="17">
        <f>'ES-PT Proposal'!A10</f>
        <v>9</v>
      </c>
      <c r="B7" s="20">
        <v>20650</v>
      </c>
      <c r="C7" s="17" t="s">
        <v>189</v>
      </c>
      <c r="D7" s="17" t="s">
        <v>190</v>
      </c>
      <c r="E7" s="17" t="s">
        <v>191</v>
      </c>
      <c r="F7" s="17" t="s">
        <v>449</v>
      </c>
      <c r="G7" s="25" t="s">
        <v>192</v>
      </c>
      <c r="H7" s="17" t="s">
        <v>193</v>
      </c>
      <c r="I7" s="25" t="s">
        <v>144</v>
      </c>
      <c r="J7" s="19" t="s">
        <v>194</v>
      </c>
      <c r="K7" s="25" t="s">
        <v>156</v>
      </c>
      <c r="P7" s="17" t="s">
        <v>171</v>
      </c>
    </row>
    <row r="8" spans="1:16" ht="120" x14ac:dyDescent="0.25">
      <c r="A8" s="17">
        <f>'ES-PT Proposal'!A11</f>
        <v>10</v>
      </c>
      <c r="B8" s="17">
        <v>203508</v>
      </c>
      <c r="C8" s="17" t="s">
        <v>195</v>
      </c>
      <c r="D8" s="17" t="s">
        <v>206</v>
      </c>
      <c r="E8" s="17" t="s">
        <v>205</v>
      </c>
      <c r="F8" s="17" t="s">
        <v>449</v>
      </c>
      <c r="G8" s="26" t="s">
        <v>202</v>
      </c>
      <c r="H8" s="17" t="s">
        <v>201</v>
      </c>
      <c r="I8" s="52" t="s">
        <v>305</v>
      </c>
      <c r="J8" s="24" t="s">
        <v>203</v>
      </c>
      <c r="K8" s="25" t="s">
        <v>204</v>
      </c>
      <c r="P8" s="17" t="s">
        <v>198</v>
      </c>
    </row>
    <row r="9" spans="1:16" ht="150" x14ac:dyDescent="0.25">
      <c r="A9" s="17">
        <f>'ES-PT Proposal'!A13</f>
        <v>12</v>
      </c>
      <c r="B9" s="17">
        <v>203888</v>
      </c>
      <c r="C9" s="17" t="s">
        <v>207</v>
      </c>
      <c r="D9" s="17" t="s">
        <v>209</v>
      </c>
      <c r="E9" s="17" t="s">
        <v>210</v>
      </c>
      <c r="F9" s="17" t="s">
        <v>449</v>
      </c>
      <c r="G9" s="26" t="s">
        <v>202</v>
      </c>
      <c r="H9" s="17" t="s">
        <v>208</v>
      </c>
      <c r="I9" s="25" t="s">
        <v>212</v>
      </c>
      <c r="J9" s="19" t="s">
        <v>211</v>
      </c>
      <c r="K9" s="25" t="s">
        <v>204</v>
      </c>
    </row>
    <row r="10" spans="1:16" ht="60" x14ac:dyDescent="0.25">
      <c r="A10" s="17">
        <f>'ES-PT Proposal'!A14</f>
        <v>13</v>
      </c>
      <c r="B10" s="20">
        <v>220359</v>
      </c>
      <c r="C10" s="17" t="s">
        <v>213</v>
      </c>
      <c r="D10" s="17" t="s">
        <v>217</v>
      </c>
      <c r="E10" s="17" t="s">
        <v>216</v>
      </c>
      <c r="F10" s="17" t="s">
        <v>449</v>
      </c>
      <c r="G10" s="25" t="s">
        <v>218</v>
      </c>
      <c r="H10" s="17" t="s">
        <v>215</v>
      </c>
      <c r="I10" s="25" t="s">
        <v>219</v>
      </c>
      <c r="J10" s="19" t="s">
        <v>214</v>
      </c>
      <c r="K10" s="25" t="s">
        <v>196</v>
      </c>
    </row>
    <row r="11" spans="1:16" ht="255" x14ac:dyDescent="0.25">
      <c r="A11" s="17">
        <f>'ES-PT Proposal'!A15</f>
        <v>14</v>
      </c>
      <c r="B11" s="17">
        <v>208249</v>
      </c>
      <c r="C11" s="17" t="s">
        <v>220</v>
      </c>
      <c r="D11" s="17" t="s">
        <v>221</v>
      </c>
      <c r="E11" s="17" t="s">
        <v>222</v>
      </c>
      <c r="F11" s="17" t="s">
        <v>449</v>
      </c>
      <c r="G11" s="25" t="s">
        <v>223</v>
      </c>
      <c r="H11" s="17" t="s">
        <v>224</v>
      </c>
      <c r="I11" s="25" t="s">
        <v>225</v>
      </c>
      <c r="J11" s="19" t="s">
        <v>226</v>
      </c>
      <c r="K11" s="25" t="s">
        <v>156</v>
      </c>
    </row>
    <row r="12" spans="1:16" ht="75" x14ac:dyDescent="0.25">
      <c r="A12" s="17">
        <f>'ES-PT Proposal'!A16</f>
        <v>15</v>
      </c>
      <c r="B12" s="20">
        <v>215091</v>
      </c>
      <c r="C12" s="17" t="s">
        <v>227</v>
      </c>
      <c r="D12" s="17" t="s">
        <v>230</v>
      </c>
      <c r="E12" s="17" t="s">
        <v>231</v>
      </c>
      <c r="F12" s="17" t="s">
        <v>449</v>
      </c>
      <c r="G12" s="25" t="s">
        <v>223</v>
      </c>
      <c r="H12" s="17" t="s">
        <v>228</v>
      </c>
      <c r="I12" s="25" t="s">
        <v>229</v>
      </c>
      <c r="J12" s="23" t="s">
        <v>232</v>
      </c>
      <c r="K12" s="25" t="s">
        <v>204</v>
      </c>
    </row>
    <row r="13" spans="1:16" ht="105" x14ac:dyDescent="0.25">
      <c r="A13" s="17">
        <f>'ES-PT Proposal'!A18</f>
        <v>17</v>
      </c>
      <c r="B13" s="17">
        <v>203212</v>
      </c>
      <c r="C13" s="17" t="s">
        <v>233</v>
      </c>
      <c r="D13" s="17" t="s">
        <v>234</v>
      </c>
      <c r="E13" s="17" t="s">
        <v>235</v>
      </c>
      <c r="F13" s="17" t="s">
        <v>449</v>
      </c>
      <c r="G13" s="25" t="s">
        <v>236</v>
      </c>
      <c r="H13" s="17" t="s">
        <v>237</v>
      </c>
      <c r="I13" s="25" t="s">
        <v>238</v>
      </c>
      <c r="J13" s="19" t="s">
        <v>239</v>
      </c>
      <c r="K13" s="25" t="s">
        <v>156</v>
      </c>
      <c r="L13" s="17" t="s">
        <v>188</v>
      </c>
    </row>
    <row r="14" spans="1:16" ht="360" x14ac:dyDescent="0.25">
      <c r="A14" s="17">
        <f>'ES-PT Proposal'!A19</f>
        <v>18</v>
      </c>
      <c r="B14" s="17">
        <v>219231</v>
      </c>
      <c r="C14" s="17" t="s">
        <v>240</v>
      </c>
      <c r="D14" s="17" t="s">
        <v>241</v>
      </c>
      <c r="E14" s="17" t="s">
        <v>246</v>
      </c>
      <c r="F14" s="17" t="s">
        <v>449</v>
      </c>
      <c r="G14" s="25" t="s">
        <v>245</v>
      </c>
      <c r="H14" s="17" t="s">
        <v>242</v>
      </c>
      <c r="I14" s="25" t="s">
        <v>243</v>
      </c>
      <c r="J14" s="19" t="s">
        <v>244</v>
      </c>
      <c r="K14" s="25" t="s">
        <v>196</v>
      </c>
    </row>
    <row r="15" spans="1:16" ht="120" x14ac:dyDescent="0.25">
      <c r="A15" s="17">
        <f>'ES-PT Proposal'!A20</f>
        <v>19</v>
      </c>
      <c r="B15" s="17">
        <v>209380</v>
      </c>
      <c r="C15" s="17" t="s">
        <v>247</v>
      </c>
      <c r="D15" s="17" t="s">
        <v>252</v>
      </c>
      <c r="E15" s="17" t="s">
        <v>253</v>
      </c>
      <c r="F15" s="17" t="s">
        <v>449</v>
      </c>
      <c r="G15" s="25" t="s">
        <v>251</v>
      </c>
      <c r="H15" s="17" t="s">
        <v>248</v>
      </c>
      <c r="I15" s="25" t="s">
        <v>249</v>
      </c>
      <c r="J15" s="19" t="s">
        <v>250</v>
      </c>
      <c r="K15" s="25" t="s">
        <v>204</v>
      </c>
    </row>
    <row r="16" spans="1:16" ht="90" x14ac:dyDescent="0.25">
      <c r="A16" s="17">
        <f>'ES-PT Proposal'!A21</f>
        <v>20</v>
      </c>
      <c r="B16" s="17">
        <v>210076</v>
      </c>
      <c r="C16" s="17" t="s">
        <v>254</v>
      </c>
      <c r="D16" s="17" t="s">
        <v>260</v>
      </c>
      <c r="E16" s="17" t="s">
        <v>259</v>
      </c>
      <c r="F16" s="17" t="s">
        <v>449</v>
      </c>
      <c r="G16" s="25" t="s">
        <v>258</v>
      </c>
      <c r="H16" s="17" t="s">
        <v>255</v>
      </c>
      <c r="I16" s="25" t="s">
        <v>256</v>
      </c>
      <c r="J16" s="19" t="s">
        <v>257</v>
      </c>
      <c r="K16" s="25" t="s">
        <v>204</v>
      </c>
    </row>
    <row r="17" spans="1:15" ht="75" x14ac:dyDescent="0.25">
      <c r="A17" s="17">
        <f>'ES-PT Proposal'!A22</f>
        <v>21</v>
      </c>
      <c r="B17" s="20">
        <v>213956</v>
      </c>
      <c r="C17" s="17" t="s">
        <v>261</v>
      </c>
      <c r="D17" s="17" t="s">
        <v>262</v>
      </c>
      <c r="E17" s="17" t="s">
        <v>263</v>
      </c>
      <c r="F17" s="17" t="s">
        <v>449</v>
      </c>
      <c r="G17" s="25" t="s">
        <v>179</v>
      </c>
      <c r="H17" s="17" t="s">
        <v>264</v>
      </c>
      <c r="I17" s="25" t="s">
        <v>265</v>
      </c>
      <c r="J17" s="19" t="s">
        <v>266</v>
      </c>
      <c r="K17" s="25" t="s">
        <v>196</v>
      </c>
    </row>
    <row r="18" spans="1:15" ht="75" x14ac:dyDescent="0.25">
      <c r="A18" s="17">
        <f>'ES-PT Proposal'!A23</f>
        <v>22</v>
      </c>
      <c r="B18" s="17">
        <v>206916</v>
      </c>
      <c r="C18" s="17" t="s">
        <v>267</v>
      </c>
      <c r="D18" s="17" t="s">
        <v>268</v>
      </c>
      <c r="E18" s="17" t="s">
        <v>269</v>
      </c>
      <c r="F18" s="17" t="s">
        <v>449</v>
      </c>
      <c r="G18" s="25" t="s">
        <v>179</v>
      </c>
      <c r="H18" s="17" t="s">
        <v>270</v>
      </c>
      <c r="I18" s="25" t="s">
        <v>271</v>
      </c>
      <c r="J18" s="19" t="s">
        <v>272</v>
      </c>
      <c r="K18" s="25" t="s">
        <v>204</v>
      </c>
    </row>
    <row r="19" spans="1:15" s="27" customFormat="1" ht="60.75" thickBot="1" x14ac:dyDescent="0.3">
      <c r="A19" s="28">
        <f>'ES-PT Proposal'!A26</f>
        <v>25</v>
      </c>
      <c r="B19" s="28">
        <v>210078</v>
      </c>
      <c r="C19" s="27" t="s">
        <v>273</v>
      </c>
      <c r="D19" s="27" t="s">
        <v>274</v>
      </c>
      <c r="E19" s="27" t="s">
        <v>275</v>
      </c>
      <c r="F19" s="17" t="s">
        <v>449</v>
      </c>
      <c r="G19" s="29" t="s">
        <v>277</v>
      </c>
      <c r="H19" s="27" t="s">
        <v>255</v>
      </c>
      <c r="I19" s="29" t="s">
        <v>256</v>
      </c>
      <c r="J19" s="30" t="s">
        <v>276</v>
      </c>
      <c r="K19" s="29" t="s">
        <v>204</v>
      </c>
      <c r="O19" s="29"/>
    </row>
    <row r="20" spans="1:15" ht="45.75" thickTop="1" x14ac:dyDescent="0.25">
      <c r="A20" s="17">
        <f>'ES-PT Proposal'!A4</f>
        <v>3</v>
      </c>
      <c r="B20" s="20">
        <v>221166</v>
      </c>
      <c r="C20" s="17" t="s">
        <v>340</v>
      </c>
      <c r="D20" s="17" t="s">
        <v>341</v>
      </c>
      <c r="E20" s="17" t="s">
        <v>342</v>
      </c>
      <c r="F20" s="17" t="s">
        <v>449</v>
      </c>
      <c r="G20" s="25" t="s">
        <v>343</v>
      </c>
      <c r="H20" s="17" t="s">
        <v>215</v>
      </c>
      <c r="I20" s="25" t="s">
        <v>219</v>
      </c>
      <c r="J20" s="19" t="s">
        <v>344</v>
      </c>
      <c r="K20" s="25" t="s">
        <v>345</v>
      </c>
    </row>
    <row r="21" spans="1:15" ht="60" x14ac:dyDescent="0.25">
      <c r="A21" s="17">
        <f>'ES-PT Proposal'!A5</f>
        <v>4</v>
      </c>
      <c r="B21" s="17">
        <v>287471</v>
      </c>
      <c r="C21" s="17" t="s">
        <v>346</v>
      </c>
      <c r="D21" s="17" t="s">
        <v>348</v>
      </c>
      <c r="E21" s="17" t="s">
        <v>349</v>
      </c>
      <c r="F21" s="17" t="s">
        <v>449</v>
      </c>
      <c r="G21" s="25" t="s">
        <v>350</v>
      </c>
      <c r="H21" s="17" t="s">
        <v>347</v>
      </c>
      <c r="I21" s="25" t="s">
        <v>198</v>
      </c>
      <c r="J21" s="19" t="s">
        <v>351</v>
      </c>
      <c r="K21" s="25" t="s">
        <v>156</v>
      </c>
    </row>
    <row r="22" spans="1:15" ht="90" x14ac:dyDescent="0.25">
      <c r="A22" s="17">
        <f>'ES-PT Proposal'!A6</f>
        <v>5</v>
      </c>
      <c r="B22" s="17">
        <v>202057</v>
      </c>
      <c r="C22" s="17" t="s">
        <v>352</v>
      </c>
      <c r="D22" s="17" t="s">
        <v>353</v>
      </c>
      <c r="E22" s="17" t="s">
        <v>354</v>
      </c>
      <c r="F22" s="17" t="s">
        <v>449</v>
      </c>
      <c r="G22" s="25" t="s">
        <v>350</v>
      </c>
      <c r="H22" s="17" t="s">
        <v>355</v>
      </c>
      <c r="I22" s="25" t="s">
        <v>144</v>
      </c>
      <c r="J22" s="19" t="s">
        <v>356</v>
      </c>
      <c r="K22" s="25" t="s">
        <v>156</v>
      </c>
      <c r="L22" s="17" t="s">
        <v>364</v>
      </c>
    </row>
    <row r="23" spans="1:15" ht="75" x14ac:dyDescent="0.25">
      <c r="A23" s="17">
        <f>'ES-PT Proposal'!A7</f>
        <v>6</v>
      </c>
      <c r="B23" s="17">
        <v>994715</v>
      </c>
      <c r="C23" s="17" t="s">
        <v>357</v>
      </c>
      <c r="D23" s="17" t="s">
        <v>358</v>
      </c>
      <c r="E23" s="17" t="s">
        <v>359</v>
      </c>
      <c r="F23" s="17" t="s">
        <v>449</v>
      </c>
      <c r="G23" s="25" t="s">
        <v>360</v>
      </c>
      <c r="H23" s="17" t="s">
        <v>361</v>
      </c>
      <c r="I23" s="25" t="s">
        <v>144</v>
      </c>
      <c r="J23" s="19" t="s">
        <v>362</v>
      </c>
      <c r="K23" s="25" t="s">
        <v>156</v>
      </c>
      <c r="L23" s="17" t="s">
        <v>363</v>
      </c>
    </row>
    <row r="24" spans="1:15" ht="105" x14ac:dyDescent="0.25">
      <c r="A24" s="17">
        <f>'ES-PT Proposal'!A12</f>
        <v>11</v>
      </c>
      <c r="B24" s="17">
        <v>997046</v>
      </c>
      <c r="C24" s="17" t="s">
        <v>365</v>
      </c>
      <c r="D24" s="17" t="s">
        <v>365</v>
      </c>
      <c r="E24" s="17" t="s">
        <v>366</v>
      </c>
      <c r="F24" s="17" t="s">
        <v>449</v>
      </c>
      <c r="G24" s="25" t="s">
        <v>368</v>
      </c>
      <c r="H24" s="17" t="s">
        <v>367</v>
      </c>
      <c r="I24" s="25" t="s">
        <v>144</v>
      </c>
      <c r="J24" s="19" t="s">
        <v>369</v>
      </c>
      <c r="K24" s="25" t="s">
        <v>156</v>
      </c>
      <c r="L24" s="17" t="s">
        <v>370</v>
      </c>
    </row>
    <row r="25" spans="1:15" ht="90" x14ac:dyDescent="0.25">
      <c r="A25" s="17">
        <f>'ES-PT Proposal'!A17</f>
        <v>16</v>
      </c>
      <c r="B25" s="17">
        <v>219601</v>
      </c>
      <c r="C25" s="17" t="s">
        <v>375</v>
      </c>
      <c r="D25" s="17" t="s">
        <v>376</v>
      </c>
      <c r="E25" s="17" t="s">
        <v>377</v>
      </c>
      <c r="F25" s="17" t="s">
        <v>449</v>
      </c>
      <c r="G25" s="25" t="s">
        <v>223</v>
      </c>
      <c r="H25" s="17" t="s">
        <v>242</v>
      </c>
      <c r="I25" s="25" t="s">
        <v>243</v>
      </c>
      <c r="J25" s="19" t="s">
        <v>378</v>
      </c>
      <c r="K25" s="25" t="s">
        <v>196</v>
      </c>
    </row>
    <row r="26" spans="1:15" ht="165" x14ac:dyDescent="0.25">
      <c r="A26" s="17">
        <f>'ES-PT Proposal'!A24</f>
        <v>23</v>
      </c>
      <c r="B26" s="17">
        <v>214599</v>
      </c>
      <c r="C26" s="17" t="s">
        <v>371</v>
      </c>
      <c r="D26" s="17" t="s">
        <v>372</v>
      </c>
      <c r="E26" s="17" t="s">
        <v>373</v>
      </c>
      <c r="F26" s="17" t="s">
        <v>449</v>
      </c>
      <c r="G26" s="25" t="s">
        <v>245</v>
      </c>
      <c r="H26" s="17" t="s">
        <v>237</v>
      </c>
      <c r="I26" s="25" t="s">
        <v>238</v>
      </c>
      <c r="J26" s="19" t="s">
        <v>374</v>
      </c>
      <c r="K26" s="25" t="s">
        <v>156</v>
      </c>
    </row>
    <row r="27" spans="1:15" ht="90" x14ac:dyDescent="0.25">
      <c r="A27" s="17">
        <f>'ES-PT Proposal'!A25</f>
        <v>24</v>
      </c>
      <c r="B27" s="17">
        <v>205767</v>
      </c>
      <c r="C27" s="17" t="s">
        <v>379</v>
      </c>
      <c r="D27" s="17" t="s">
        <v>380</v>
      </c>
      <c r="E27" s="17" t="s">
        <v>382</v>
      </c>
      <c r="F27" s="17" t="s">
        <v>449</v>
      </c>
      <c r="G27" s="25" t="s">
        <v>398</v>
      </c>
      <c r="H27" s="17" t="s">
        <v>381</v>
      </c>
      <c r="I27" s="25" t="s">
        <v>383</v>
      </c>
      <c r="J27" s="19" t="s">
        <v>384</v>
      </c>
      <c r="K27" s="25" t="s">
        <v>204</v>
      </c>
    </row>
    <row r="28" spans="1:15" ht="60" x14ac:dyDescent="0.25">
      <c r="A28" s="17">
        <f>'ES-PT Proposal'!A27</f>
        <v>26</v>
      </c>
      <c r="B28" s="17">
        <v>992253</v>
      </c>
      <c r="C28" s="17" t="s">
        <v>385</v>
      </c>
      <c r="D28" s="17" t="s">
        <v>386</v>
      </c>
      <c r="E28" s="17" t="s">
        <v>387</v>
      </c>
      <c r="F28" s="17" t="s">
        <v>449</v>
      </c>
      <c r="G28" s="25" t="s">
        <v>388</v>
      </c>
      <c r="H28" s="17" t="s">
        <v>389</v>
      </c>
      <c r="I28" s="25" t="s">
        <v>144</v>
      </c>
      <c r="J28" s="19" t="s">
        <v>390</v>
      </c>
      <c r="K28" s="25" t="s">
        <v>156</v>
      </c>
      <c r="L28" s="17" t="s">
        <v>391</v>
      </c>
    </row>
    <row r="29" spans="1:15" ht="60" x14ac:dyDescent="0.25">
      <c r="A29" s="17">
        <f>'ES-PT Proposal'!A28</f>
        <v>27</v>
      </c>
      <c r="B29" s="17">
        <v>992224</v>
      </c>
      <c r="C29" s="17" t="s">
        <v>392</v>
      </c>
      <c r="D29" s="17" t="s">
        <v>393</v>
      </c>
      <c r="E29" s="17" t="s">
        <v>394</v>
      </c>
      <c r="F29" s="17" t="s">
        <v>449</v>
      </c>
      <c r="G29" s="25" t="s">
        <v>388</v>
      </c>
      <c r="H29" s="17" t="s">
        <v>389</v>
      </c>
      <c r="I29" s="25" t="s">
        <v>144</v>
      </c>
      <c r="J29" s="19" t="s">
        <v>395</v>
      </c>
      <c r="K29" s="25" t="s">
        <v>396</v>
      </c>
      <c r="L29" s="17" t="s">
        <v>188</v>
      </c>
    </row>
    <row r="30" spans="1:15" ht="122.25" customHeight="1" x14ac:dyDescent="0.25">
      <c r="A30" s="17">
        <f>'ES-PT Proposal'!A29</f>
        <v>28</v>
      </c>
      <c r="B30" s="17">
        <v>997800</v>
      </c>
      <c r="C30" s="17" t="s">
        <v>399</v>
      </c>
      <c r="D30" s="17" t="s">
        <v>400</v>
      </c>
      <c r="E30" s="17" t="s">
        <v>407</v>
      </c>
      <c r="F30" s="17" t="s">
        <v>449</v>
      </c>
      <c r="G30" s="25" t="s">
        <v>403</v>
      </c>
      <c r="H30" s="17" t="s">
        <v>401</v>
      </c>
      <c r="I30" s="25" t="s">
        <v>144</v>
      </c>
      <c r="J30" s="19" t="s">
        <v>402</v>
      </c>
      <c r="K30" s="25" t="s">
        <v>156</v>
      </c>
      <c r="L30" s="17" t="s">
        <v>171</v>
      </c>
    </row>
    <row r="31" spans="1:15" ht="60" x14ac:dyDescent="0.25">
      <c r="A31" s="17">
        <f>'ES-PT Proposal'!A30</f>
        <v>29</v>
      </c>
      <c r="B31" s="17">
        <v>992225</v>
      </c>
      <c r="C31" s="17" t="s">
        <v>404</v>
      </c>
      <c r="D31" s="17" t="s">
        <v>405</v>
      </c>
      <c r="E31" s="17" t="s">
        <v>406</v>
      </c>
      <c r="F31" s="17" t="s">
        <v>449</v>
      </c>
      <c r="G31" s="25" t="s">
        <v>388</v>
      </c>
      <c r="H31" s="17" t="s">
        <v>389</v>
      </c>
      <c r="I31" s="25" t="s">
        <v>144</v>
      </c>
      <c r="J31" s="19" t="s">
        <v>395</v>
      </c>
      <c r="K31" s="25" t="s">
        <v>396</v>
      </c>
      <c r="L31" s="17" t="s">
        <v>397</v>
      </c>
    </row>
    <row r="32" spans="1:15" ht="60" x14ac:dyDescent="0.25">
      <c r="A32" s="17">
        <f>'ES-PT Proposal'!A31</f>
        <v>30</v>
      </c>
      <c r="B32" s="17">
        <v>992257</v>
      </c>
      <c r="C32" s="17" t="s">
        <v>408</v>
      </c>
      <c r="D32" s="17" t="s">
        <v>409</v>
      </c>
      <c r="E32" s="17" t="s">
        <v>410</v>
      </c>
      <c r="F32" s="17" t="s">
        <v>449</v>
      </c>
      <c r="G32" s="25" t="s">
        <v>388</v>
      </c>
      <c r="H32" s="17" t="s">
        <v>389</v>
      </c>
      <c r="I32" s="25" t="s">
        <v>144</v>
      </c>
      <c r="J32" s="19" t="s">
        <v>395</v>
      </c>
      <c r="K32" s="25" t="s">
        <v>156</v>
      </c>
      <c r="L32" s="17" t="s">
        <v>411</v>
      </c>
    </row>
  </sheetData>
  <mergeCells count="4">
    <mergeCell ref="B1:G1"/>
    <mergeCell ref="H1:I1"/>
    <mergeCell ref="J1:K1"/>
    <mergeCell ref="L1:O1"/>
  </mergeCells>
  <hyperlinks>
    <hyperlink ref="J3" r:id="rId1"/>
    <hyperlink ref="L3" r:id="rId2"/>
    <hyperlink ref="J4" r:id="rId3"/>
    <hyperlink ref="J5" r:id="rId4" display="https://sede.muface.gob.es/"/>
    <hyperlink ref="L6" r:id="rId5"/>
    <hyperlink ref="J6" r:id="rId6"/>
    <hyperlink ref="J7" r:id="rId7"/>
    <hyperlink ref="J8" r:id="rId8"/>
    <hyperlink ref="J9" r:id="rId9"/>
    <hyperlink ref="J10" r:id="rId10"/>
    <hyperlink ref="J11" r:id="rId11"/>
    <hyperlink ref="J12" r:id="rId12"/>
    <hyperlink ref="J13" r:id="rId13"/>
    <hyperlink ref="J14" r:id="rId14"/>
    <hyperlink ref="J15" r:id="rId15"/>
    <hyperlink ref="J16" r:id="rId16"/>
    <hyperlink ref="J17" r:id="rId17"/>
    <hyperlink ref="J18" r:id="rId18"/>
    <hyperlink ref="J19" r:id="rId19"/>
    <hyperlink ref="J20" r:id="rId20"/>
    <hyperlink ref="J21" r:id="rId21"/>
    <hyperlink ref="J22" r:id="rId22" display="http://www.mecd.gob.es/servicios-al-ciudadano-mecd/catalogo/general/educacion/202057.html"/>
    <hyperlink ref="J23" r:id="rId23"/>
    <hyperlink ref="J24" r:id="rId24"/>
    <hyperlink ref="J26" r:id="rId25" display="http://www.madrid.org/cs/Satellite?c=CM_Tramite_FA&amp;cid=1142564112542&amp;definicion=Autorizacion+Licencia+Permiso+Carne&amp;idConsejeria=1109266187248&amp;idListConsj=1109265444710&amp;idOrganismo=1109266227580&amp;language=es&amp;pagename=ComunidadMadrid%2FEstructura&amp;sm=1109265843990&amp;tipoServicio=CM_Tramite_FA"/>
    <hyperlink ref="J25" r:id="rId26"/>
    <hyperlink ref="J27" r:id="rId27"/>
    <hyperlink ref="J28" r:id="rId28"/>
    <hyperlink ref="J29" r:id="rId29"/>
    <hyperlink ref="J30" r:id="rId30"/>
    <hyperlink ref="J31" r:id="rId31"/>
    <hyperlink ref="J32" r:id="rId32"/>
  </hyperlinks>
  <pageMargins left="0.7" right="0.7" top="0.75" bottom="0.75" header="0.3" footer="0.3"/>
  <pageSetup paperSize="9" orientation="portrait" verticalDpi="0" r:id="rId3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2"/>
  <sheetViews>
    <sheetView tabSelected="1" workbookViewId="0">
      <pane ySplit="1" topLeftCell="A26" activePane="bottomLeft" state="frozen"/>
      <selection activeCell="C1" sqref="C1"/>
      <selection pane="bottomLeft" activeCell="F3" sqref="F3:F32"/>
    </sheetView>
  </sheetViews>
  <sheetFormatPr defaultColWidth="11.42578125" defaultRowHeight="15" x14ac:dyDescent="0.25"/>
  <cols>
    <col min="1" max="1" width="15.5703125" style="17" customWidth="1"/>
    <col min="2" max="2" width="11.42578125" style="17"/>
    <col min="3" max="3" width="28.5703125" style="17" customWidth="1"/>
    <col min="4" max="4" width="67" style="17" customWidth="1"/>
    <col min="5" max="5" width="25.140625" style="17" customWidth="1"/>
    <col min="6" max="6" width="11.42578125" style="17"/>
    <col min="7" max="7" width="16.140625" style="25" customWidth="1"/>
    <col min="8" max="8" width="23.85546875" style="17" customWidth="1"/>
    <col min="9" max="9" width="17.7109375" style="47" customWidth="1"/>
    <col min="10" max="10" width="21.5703125" style="17" customWidth="1"/>
    <col min="11" max="11" width="17.85546875" style="47" customWidth="1"/>
    <col min="12" max="14" width="17.85546875" style="17" customWidth="1"/>
    <col min="15" max="15" width="17.85546875" style="25" customWidth="1"/>
    <col min="16" max="16384" width="11.42578125" style="17"/>
  </cols>
  <sheetData>
    <row r="1" spans="1:16" x14ac:dyDescent="0.25">
      <c r="A1" s="43" t="s">
        <v>278</v>
      </c>
      <c r="B1" s="59" t="s">
        <v>151</v>
      </c>
      <c r="C1" s="60"/>
      <c r="D1" s="60"/>
      <c r="E1" s="60"/>
      <c r="F1" s="60"/>
      <c r="G1" s="61"/>
      <c r="H1" s="59" t="s">
        <v>152</v>
      </c>
      <c r="I1" s="61"/>
      <c r="J1" s="59" t="s">
        <v>148</v>
      </c>
      <c r="K1" s="61"/>
      <c r="L1" s="59" t="s">
        <v>160</v>
      </c>
      <c r="M1" s="60"/>
      <c r="N1" s="60"/>
      <c r="O1" s="61"/>
      <c r="P1" s="41" t="s">
        <v>165</v>
      </c>
    </row>
    <row r="2" spans="1:16" ht="28.5" customHeight="1" x14ac:dyDescent="0.25">
      <c r="A2" s="37" t="s">
        <v>99</v>
      </c>
      <c r="B2" s="44" t="s">
        <v>138</v>
      </c>
      <c r="C2" s="44" t="s">
        <v>139</v>
      </c>
      <c r="D2" s="44" t="s">
        <v>140</v>
      </c>
      <c r="E2" s="44" t="s">
        <v>141</v>
      </c>
      <c r="F2" s="44" t="s">
        <v>142</v>
      </c>
      <c r="G2" s="45" t="s">
        <v>149</v>
      </c>
      <c r="H2" s="42" t="s">
        <v>153</v>
      </c>
      <c r="I2" s="46" t="s">
        <v>154</v>
      </c>
      <c r="J2" s="38" t="s">
        <v>138</v>
      </c>
      <c r="K2" s="50" t="s">
        <v>155</v>
      </c>
      <c r="L2" s="38" t="s">
        <v>161</v>
      </c>
      <c r="M2" s="37" t="s">
        <v>139</v>
      </c>
      <c r="N2" s="37" t="s">
        <v>162</v>
      </c>
      <c r="O2" s="39" t="s">
        <v>155</v>
      </c>
      <c r="P2" s="38" t="s">
        <v>158</v>
      </c>
    </row>
    <row r="3" spans="1:16" ht="285" x14ac:dyDescent="0.25">
      <c r="A3" s="17">
        <f>'ES-PT Proposal'!A2</f>
        <v>1</v>
      </c>
      <c r="B3" s="17">
        <v>109000</v>
      </c>
      <c r="C3" s="17" t="str">
        <f>'ES-PT Proposal'!D2</f>
        <v>Bithday Certificate</v>
      </c>
      <c r="D3" s="17" t="s">
        <v>448</v>
      </c>
      <c r="E3" s="17" t="s">
        <v>279</v>
      </c>
      <c r="F3" s="17" t="s">
        <v>449</v>
      </c>
      <c r="G3" s="25" t="s">
        <v>281</v>
      </c>
      <c r="H3" s="17" t="s">
        <v>280</v>
      </c>
      <c r="I3" s="47" t="s">
        <v>144</v>
      </c>
      <c r="J3" s="19" t="s">
        <v>157</v>
      </c>
      <c r="K3" s="47" t="s">
        <v>296</v>
      </c>
      <c r="L3" s="21" t="s">
        <v>163</v>
      </c>
      <c r="M3" s="17" t="s">
        <v>299</v>
      </c>
      <c r="N3" s="18" t="s">
        <v>0</v>
      </c>
      <c r="O3" s="40" t="s">
        <v>294</v>
      </c>
      <c r="P3" s="17" t="s">
        <v>301</v>
      </c>
    </row>
    <row r="4" spans="1:16" ht="105" x14ac:dyDescent="0.25">
      <c r="A4" s="17">
        <f>'ES-PT Proposal'!A3</f>
        <v>2</v>
      </c>
      <c r="B4" s="20">
        <v>994455</v>
      </c>
      <c r="C4" s="17" t="str">
        <f>'ES-PT Proposal'!D3</f>
        <v>Residence Certificate for Europeans</v>
      </c>
      <c r="D4" s="22" t="s">
        <v>308</v>
      </c>
      <c r="E4" s="17" t="s">
        <v>309</v>
      </c>
      <c r="F4" s="17" t="s">
        <v>449</v>
      </c>
      <c r="G4" s="25" t="s">
        <v>286</v>
      </c>
      <c r="H4" s="20" t="s">
        <v>168</v>
      </c>
      <c r="I4" s="47" t="s">
        <v>144</v>
      </c>
      <c r="J4" s="23" t="s">
        <v>169</v>
      </c>
      <c r="K4" s="47" t="s">
        <v>296</v>
      </c>
      <c r="P4" s="17" t="s">
        <v>302</v>
      </c>
    </row>
    <row r="5" spans="1:16" ht="105" x14ac:dyDescent="0.25">
      <c r="A5" s="17">
        <f>'ES-PT Proposal'!A8</f>
        <v>7</v>
      </c>
      <c r="B5" s="20">
        <v>203557</v>
      </c>
      <c r="C5" s="17" t="str">
        <f>'ES-PT Proposal'!D8</f>
        <v>Application for European Health Insurance Card</v>
      </c>
      <c r="D5" s="17" t="s">
        <v>310</v>
      </c>
      <c r="E5" s="17" t="s">
        <v>311</v>
      </c>
      <c r="F5" s="17" t="s">
        <v>449</v>
      </c>
      <c r="G5" s="26" t="s">
        <v>282</v>
      </c>
      <c r="H5" s="17" t="s">
        <v>174</v>
      </c>
      <c r="I5" s="47" t="s">
        <v>144</v>
      </c>
      <c r="J5" s="19" t="s">
        <v>175</v>
      </c>
      <c r="K5" s="47" t="s">
        <v>296</v>
      </c>
      <c r="P5" s="17" t="s">
        <v>303</v>
      </c>
    </row>
    <row r="6" spans="1:16" ht="165" x14ac:dyDescent="0.25">
      <c r="A6" s="17">
        <f>'ES-PT Proposal'!A9</f>
        <v>8</v>
      </c>
      <c r="B6" s="17">
        <v>200265</v>
      </c>
      <c r="C6" s="17" t="str">
        <f>'ES-PT Proposal'!D9</f>
        <v>Communication of change of address</v>
      </c>
      <c r="D6" s="17" t="s">
        <v>312</v>
      </c>
      <c r="E6" s="17" t="s">
        <v>313</v>
      </c>
      <c r="F6" s="17" t="s">
        <v>449</v>
      </c>
      <c r="G6" s="25" t="s">
        <v>293</v>
      </c>
      <c r="H6" s="17" t="s">
        <v>186</v>
      </c>
      <c r="I6" s="47" t="s">
        <v>144</v>
      </c>
      <c r="J6" s="19" t="s">
        <v>187</v>
      </c>
      <c r="K6" s="47" t="s">
        <v>296</v>
      </c>
      <c r="L6" s="19" t="s">
        <v>184</v>
      </c>
      <c r="M6" s="17" t="s">
        <v>300</v>
      </c>
      <c r="N6" s="17" t="s">
        <v>0</v>
      </c>
      <c r="O6" s="25" t="s">
        <v>295</v>
      </c>
      <c r="P6" s="17" t="s">
        <v>304</v>
      </c>
    </row>
    <row r="7" spans="1:16" ht="75" x14ac:dyDescent="0.25">
      <c r="A7" s="17">
        <f>'ES-PT Proposal'!A10</f>
        <v>9</v>
      </c>
      <c r="B7" s="20">
        <v>20650</v>
      </c>
      <c r="C7" s="17" t="str">
        <f>'ES-PT Proposal'!D10</f>
        <v>Claiming retirement pension</v>
      </c>
      <c r="D7" s="17" t="s">
        <v>314</v>
      </c>
      <c r="E7" s="17" t="s">
        <v>315</v>
      </c>
      <c r="F7" s="17" t="s">
        <v>449</v>
      </c>
      <c r="G7" s="25" t="s">
        <v>287</v>
      </c>
      <c r="H7" s="17" t="s">
        <v>193</v>
      </c>
      <c r="I7" s="47" t="s">
        <v>144</v>
      </c>
      <c r="J7" s="19" t="s">
        <v>194</v>
      </c>
      <c r="K7" s="47" t="s">
        <v>296</v>
      </c>
      <c r="P7" s="17" t="s">
        <v>302</v>
      </c>
    </row>
    <row r="8" spans="1:16" ht="150" x14ac:dyDescent="0.25">
      <c r="A8" s="17">
        <f>'ES-PT Proposal'!A11</f>
        <v>10</v>
      </c>
      <c r="B8" s="17">
        <v>203508</v>
      </c>
      <c r="C8" s="17" t="str">
        <f>'ES-PT Proposal'!D11</f>
        <v>Instalación de situados para ejercer la venta ambulante</v>
      </c>
      <c r="D8" s="17" t="s">
        <v>316</v>
      </c>
      <c r="E8" s="17" t="s">
        <v>317</v>
      </c>
      <c r="F8" s="17" t="s">
        <v>449</v>
      </c>
      <c r="G8" s="26" t="s">
        <v>288</v>
      </c>
      <c r="H8" s="17" t="s">
        <v>201</v>
      </c>
      <c r="I8" s="48" t="s">
        <v>305</v>
      </c>
      <c r="J8" s="24" t="s">
        <v>203</v>
      </c>
      <c r="K8" s="47" t="s">
        <v>297</v>
      </c>
    </row>
    <row r="9" spans="1:16" ht="135" x14ac:dyDescent="0.25">
      <c r="A9" s="17">
        <f>'ES-PT Proposal'!A13</f>
        <v>12</v>
      </c>
      <c r="B9" s="17">
        <v>203888</v>
      </c>
      <c r="C9" s="17" t="str">
        <f>'ES-PT Proposal'!D13</f>
        <v xml:space="preserve">Authorization request for operating Fish Farms or Aquaculture Facilities </v>
      </c>
      <c r="D9" s="17" t="s">
        <v>318</v>
      </c>
      <c r="E9" s="17" t="s">
        <v>319</v>
      </c>
      <c r="F9" s="17" t="s">
        <v>449</v>
      </c>
      <c r="G9" s="26" t="s">
        <v>288</v>
      </c>
      <c r="H9" s="17" t="s">
        <v>208</v>
      </c>
      <c r="I9" s="47" t="s">
        <v>212</v>
      </c>
      <c r="J9" s="19" t="s">
        <v>211</v>
      </c>
      <c r="K9" s="47" t="s">
        <v>297</v>
      </c>
    </row>
    <row r="10" spans="1:16" ht="60" x14ac:dyDescent="0.25">
      <c r="A10" s="17">
        <f>'ES-PT Proposal'!A14</f>
        <v>13</v>
      </c>
      <c r="B10" s="20">
        <v>220359</v>
      </c>
      <c r="C10" s="17" t="str">
        <f>'ES-PT Proposal'!D14</f>
        <v>Authorization of commercial license to large commercial establishments and shopping centers.</v>
      </c>
      <c r="D10" s="17" t="s">
        <v>320</v>
      </c>
      <c r="E10" s="17" t="s">
        <v>321</v>
      </c>
      <c r="F10" s="17" t="s">
        <v>449</v>
      </c>
      <c r="G10" s="25" t="s">
        <v>289</v>
      </c>
      <c r="H10" s="17" t="s">
        <v>215</v>
      </c>
      <c r="I10" s="47" t="s">
        <v>219</v>
      </c>
      <c r="J10" s="19" t="s">
        <v>214</v>
      </c>
      <c r="K10" s="47" t="s">
        <v>298</v>
      </c>
    </row>
    <row r="11" spans="1:16" ht="210" x14ac:dyDescent="0.25">
      <c r="A11" s="17">
        <f>'ES-PT Proposal'!A15</f>
        <v>14</v>
      </c>
      <c r="B11" s="17">
        <v>208249</v>
      </c>
      <c r="C11" s="17" t="str">
        <f>'ES-PT Proposal'!D15</f>
        <v xml:space="preserve">Registry for startup of a guesthouse activity </v>
      </c>
      <c r="D11" s="17" t="s">
        <v>322</v>
      </c>
      <c r="E11" s="17" t="s">
        <v>323</v>
      </c>
      <c r="F11" s="17" t="s">
        <v>449</v>
      </c>
      <c r="G11" s="25" t="s">
        <v>291</v>
      </c>
      <c r="H11" s="17" t="s">
        <v>224</v>
      </c>
      <c r="I11" s="47" t="s">
        <v>225</v>
      </c>
      <c r="J11" s="19" t="s">
        <v>226</v>
      </c>
      <c r="K11" s="47" t="s">
        <v>296</v>
      </c>
    </row>
    <row r="12" spans="1:16" ht="60" x14ac:dyDescent="0.25">
      <c r="A12" s="17">
        <f>'ES-PT Proposal'!A16</f>
        <v>15</v>
      </c>
      <c r="B12" s="20">
        <v>215091</v>
      </c>
      <c r="C12" s="17" t="str">
        <f>'ES-PT Proposal'!D16</f>
        <v>Communication of cessation of activity of a non-hotel tourist accommodation establishment</v>
      </c>
      <c r="D12" s="17" t="s">
        <v>324</v>
      </c>
      <c r="E12" s="17" t="s">
        <v>325</v>
      </c>
      <c r="F12" s="17" t="s">
        <v>449</v>
      </c>
      <c r="G12" s="25" t="s">
        <v>291</v>
      </c>
      <c r="H12" s="17" t="s">
        <v>228</v>
      </c>
      <c r="I12" s="47" t="s">
        <v>229</v>
      </c>
      <c r="J12" s="23" t="s">
        <v>232</v>
      </c>
      <c r="K12" s="47" t="s">
        <v>297</v>
      </c>
    </row>
    <row r="13" spans="1:16" ht="150" x14ac:dyDescent="0.25">
      <c r="A13" s="17">
        <f>'ES-PT Proposal'!A18</f>
        <v>17</v>
      </c>
      <c r="B13" s="17">
        <v>203212</v>
      </c>
      <c r="C13" s="17" t="str">
        <f>'ES-PT Proposal'!D18</f>
        <v>Start of activity of catering facility</v>
      </c>
      <c r="D13" s="17" t="s">
        <v>326</v>
      </c>
      <c r="E13" s="17" t="s">
        <v>327</v>
      </c>
      <c r="F13" s="17" t="s">
        <v>449</v>
      </c>
      <c r="G13" s="25" t="s">
        <v>292</v>
      </c>
      <c r="H13" s="17" t="s">
        <v>237</v>
      </c>
      <c r="I13" s="47" t="s">
        <v>238</v>
      </c>
      <c r="J13" s="19" t="s">
        <v>239</v>
      </c>
      <c r="K13" s="47" t="s">
        <v>296</v>
      </c>
      <c r="L13" s="17" t="s">
        <v>188</v>
      </c>
    </row>
    <row r="14" spans="1:16" ht="315" x14ac:dyDescent="0.25">
      <c r="A14" s="17">
        <f>'ES-PT Proposal'!A19</f>
        <v>18</v>
      </c>
      <c r="B14" s="17">
        <v>219231</v>
      </c>
      <c r="C14" s="17" t="str">
        <f>'ES-PT Proposal'!D19</f>
        <v>Register of Real Estate Agents of Catalonia</v>
      </c>
      <c r="D14" s="17" t="s">
        <v>328</v>
      </c>
      <c r="E14" s="17" t="s">
        <v>329</v>
      </c>
      <c r="F14" s="17" t="s">
        <v>449</v>
      </c>
      <c r="G14" s="25" t="s">
        <v>285</v>
      </c>
      <c r="H14" s="17" t="s">
        <v>242</v>
      </c>
      <c r="I14" s="47" t="s">
        <v>243</v>
      </c>
      <c r="J14" s="19" t="s">
        <v>244</v>
      </c>
      <c r="K14" s="47" t="s">
        <v>298</v>
      </c>
    </row>
    <row r="15" spans="1:16" ht="120" x14ac:dyDescent="0.25">
      <c r="A15" s="17">
        <f>'ES-PT Proposal'!A20</f>
        <v>19</v>
      </c>
      <c r="B15" s="17">
        <v>209380</v>
      </c>
      <c r="C15" s="17" t="str">
        <f>'ES-PT Proposal'!D20</f>
        <v>Clearance sales communication</v>
      </c>
      <c r="D15" s="17" t="s">
        <v>330</v>
      </c>
      <c r="E15" s="17" t="s">
        <v>331</v>
      </c>
      <c r="F15" s="17" t="s">
        <v>449</v>
      </c>
      <c r="G15" s="25" t="s">
        <v>290</v>
      </c>
      <c r="H15" s="17" t="s">
        <v>248</v>
      </c>
      <c r="I15" s="47" t="s">
        <v>249</v>
      </c>
      <c r="J15" s="19" t="s">
        <v>250</v>
      </c>
      <c r="K15" s="47" t="s">
        <v>297</v>
      </c>
    </row>
    <row r="16" spans="1:16" ht="75" x14ac:dyDescent="0.25">
      <c r="A16" s="17">
        <f>'ES-PT Proposal'!A21</f>
        <v>20</v>
      </c>
      <c r="B16" s="17">
        <v>210076</v>
      </c>
      <c r="C16" s="17" t="str">
        <f>'ES-PT Proposal'!D21</f>
        <v>Registration in the Special Register of Repair Shops for motor vehicles and their equipment and components</v>
      </c>
      <c r="D16" s="17" t="s">
        <v>333</v>
      </c>
      <c r="E16" s="17" t="s">
        <v>332</v>
      </c>
      <c r="F16" s="17" t="s">
        <v>449</v>
      </c>
      <c r="G16" s="25" t="s">
        <v>284</v>
      </c>
      <c r="H16" s="17" t="s">
        <v>255</v>
      </c>
      <c r="I16" s="47" t="s">
        <v>256</v>
      </c>
      <c r="J16" s="19" t="s">
        <v>257</v>
      </c>
      <c r="K16" s="47" t="s">
        <v>297</v>
      </c>
    </row>
    <row r="17" spans="1:16" ht="60" x14ac:dyDescent="0.25">
      <c r="A17" s="17">
        <f>'ES-PT Proposal'!A22</f>
        <v>21</v>
      </c>
      <c r="B17" s="20">
        <v>213956</v>
      </c>
      <c r="C17" s="17" t="str">
        <f>'ES-PT Proposal'!D22</f>
        <v>Registration in the Official Register of tanning centers</v>
      </c>
      <c r="D17" s="17" t="s">
        <v>334</v>
      </c>
      <c r="E17" s="17" t="s">
        <v>335</v>
      </c>
      <c r="F17" s="17" t="s">
        <v>449</v>
      </c>
      <c r="G17" s="25" t="s">
        <v>282</v>
      </c>
      <c r="H17" s="17" t="s">
        <v>264</v>
      </c>
      <c r="I17" s="47" t="s">
        <v>265</v>
      </c>
      <c r="J17" s="19" t="s">
        <v>266</v>
      </c>
      <c r="K17" s="47" t="s">
        <v>298</v>
      </c>
    </row>
    <row r="18" spans="1:16" ht="60" x14ac:dyDescent="0.25">
      <c r="A18" s="17">
        <f>'ES-PT Proposal'!A23</f>
        <v>22</v>
      </c>
      <c r="B18" s="17">
        <v>206916</v>
      </c>
      <c r="C18" s="17" t="str">
        <f>'ES-PT Proposal'!D23</f>
        <v>Sanitary authorization for tattoo and piercing establishments</v>
      </c>
      <c r="D18" s="17" t="s">
        <v>336</v>
      </c>
      <c r="E18" s="17" t="s">
        <v>337</v>
      </c>
      <c r="F18" s="17" t="s">
        <v>449</v>
      </c>
      <c r="G18" s="25" t="s">
        <v>282</v>
      </c>
      <c r="H18" s="17" t="s">
        <v>270</v>
      </c>
      <c r="I18" s="47" t="s">
        <v>271</v>
      </c>
      <c r="J18" s="19" t="s">
        <v>272</v>
      </c>
      <c r="K18" s="47" t="s">
        <v>297</v>
      </c>
    </row>
    <row r="19" spans="1:16" s="27" customFormat="1" ht="60.75" thickBot="1" x14ac:dyDescent="0.3">
      <c r="A19" s="28">
        <f>'ES-PT Proposal'!A26</f>
        <v>25</v>
      </c>
      <c r="B19" s="28">
        <v>210078</v>
      </c>
      <c r="C19" s="27" t="str">
        <f>'ES-PT Proposal'!D26</f>
        <v>Business licence for large retail trade establishment</v>
      </c>
      <c r="D19" s="27" t="s">
        <v>339</v>
      </c>
      <c r="E19" s="27" t="s">
        <v>338</v>
      </c>
      <c r="F19" s="17" t="s">
        <v>449</v>
      </c>
      <c r="G19" s="29" t="s">
        <v>283</v>
      </c>
      <c r="H19" s="27" t="s">
        <v>255</v>
      </c>
      <c r="I19" s="49" t="s">
        <v>256</v>
      </c>
      <c r="J19" s="30" t="s">
        <v>276</v>
      </c>
      <c r="K19" s="49" t="s">
        <v>297</v>
      </c>
      <c r="O19" s="29"/>
    </row>
    <row r="20" spans="1:16" ht="45.75" thickTop="1" x14ac:dyDescent="0.25">
      <c r="A20" s="17">
        <f>'ES-PT Proposal'!A4</f>
        <v>3</v>
      </c>
      <c r="B20" s="20">
        <v>221166</v>
      </c>
      <c r="C20" s="17" t="str">
        <f>'ES-PT Proposal'!D4</f>
        <v>Study aids to produce doctoral thesis</v>
      </c>
      <c r="D20" s="17" t="s">
        <v>423</v>
      </c>
      <c r="E20" s="17" t="s">
        <v>424</v>
      </c>
      <c r="F20" s="17" t="s">
        <v>449</v>
      </c>
      <c r="G20" s="25" t="s">
        <v>415</v>
      </c>
      <c r="H20" s="17" t="s">
        <v>215</v>
      </c>
      <c r="I20" s="47" t="s">
        <v>219</v>
      </c>
      <c r="J20" s="19" t="s">
        <v>344</v>
      </c>
      <c r="K20" s="47" t="s">
        <v>296</v>
      </c>
    </row>
    <row r="21" spans="1:16" ht="60" x14ac:dyDescent="0.25">
      <c r="A21" s="17">
        <f>'ES-PT Proposal'!A5</f>
        <v>4</v>
      </c>
      <c r="B21" s="17">
        <v>287471</v>
      </c>
      <c r="C21" s="17" t="str">
        <f>'ES-PT Proposal'!D5</f>
        <v>Application for Grade or Master studies in Granada University</v>
      </c>
      <c r="D21" s="17" t="s">
        <v>425</v>
      </c>
      <c r="E21" s="17" t="s">
        <v>426</v>
      </c>
      <c r="F21" s="17" t="s">
        <v>449</v>
      </c>
      <c r="G21" s="25" t="s">
        <v>416</v>
      </c>
      <c r="H21" s="17" t="s">
        <v>347</v>
      </c>
      <c r="I21" s="47" t="s">
        <v>198</v>
      </c>
      <c r="J21" s="19" t="s">
        <v>351</v>
      </c>
      <c r="K21" s="47" t="s">
        <v>296</v>
      </c>
    </row>
    <row r="22" spans="1:16" ht="90" x14ac:dyDescent="0.25">
      <c r="A22" s="17">
        <f>'ES-PT Proposal'!A6</f>
        <v>5</v>
      </c>
      <c r="B22" s="17">
        <v>202057</v>
      </c>
      <c r="C22" s="17" t="str">
        <f>'ES-PT Proposal'!D6</f>
        <v>Homologation of university degrees and recognition of qualifications</v>
      </c>
      <c r="D22" s="17" t="s">
        <v>427</v>
      </c>
      <c r="E22" s="17" t="s">
        <v>428</v>
      </c>
      <c r="F22" s="17" t="s">
        <v>449</v>
      </c>
      <c r="G22" s="25" t="s">
        <v>416</v>
      </c>
      <c r="H22" s="17" t="s">
        <v>355</v>
      </c>
      <c r="I22" s="47" t="s">
        <v>144</v>
      </c>
      <c r="J22" s="19" t="s">
        <v>356</v>
      </c>
      <c r="K22" s="47" t="s">
        <v>296</v>
      </c>
      <c r="P22" s="17" t="s">
        <v>413</v>
      </c>
    </row>
    <row r="23" spans="1:16" ht="90" x14ac:dyDescent="0.25">
      <c r="A23" s="17">
        <f>'ES-PT Proposal'!A7</f>
        <v>6</v>
      </c>
      <c r="B23" s="17">
        <v>994715</v>
      </c>
      <c r="C23" s="17" t="str">
        <f>'ES-PT Proposal'!D7</f>
        <v>Modification of data about pension</v>
      </c>
      <c r="D23" s="17" t="s">
        <v>429</v>
      </c>
      <c r="E23" s="17" t="s">
        <v>430</v>
      </c>
      <c r="F23" s="17" t="s">
        <v>449</v>
      </c>
      <c r="G23" s="25" t="s">
        <v>418</v>
      </c>
      <c r="H23" s="17" t="s">
        <v>361</v>
      </c>
      <c r="I23" s="47" t="s">
        <v>144</v>
      </c>
      <c r="J23" s="19" t="s">
        <v>362</v>
      </c>
      <c r="K23" s="47" t="s">
        <v>296</v>
      </c>
      <c r="P23" s="17" t="s">
        <v>414</v>
      </c>
    </row>
    <row r="24" spans="1:16" ht="105" x14ac:dyDescent="0.25">
      <c r="A24" s="17">
        <f>'ES-PT Proposal'!A12</f>
        <v>11</v>
      </c>
      <c r="B24" s="17">
        <v>997046</v>
      </c>
      <c r="C24" s="17" t="str">
        <f>'ES-PT Proposal'!D12</f>
        <v>Import, export, manufacturing of non-registered medicines</v>
      </c>
      <c r="D24" s="17" t="s">
        <v>86</v>
      </c>
      <c r="E24" s="17" t="s">
        <v>431</v>
      </c>
      <c r="F24" s="17" t="s">
        <v>449</v>
      </c>
      <c r="G24" s="25" t="s">
        <v>419</v>
      </c>
      <c r="H24" s="17" t="s">
        <v>367</v>
      </c>
      <c r="I24" s="47" t="s">
        <v>144</v>
      </c>
      <c r="J24" s="19" t="s">
        <v>369</v>
      </c>
      <c r="K24" s="47" t="s">
        <v>296</v>
      </c>
      <c r="P24" s="17" t="s">
        <v>303</v>
      </c>
    </row>
    <row r="25" spans="1:16" ht="120" x14ac:dyDescent="0.25">
      <c r="A25" s="17">
        <f>'ES-PT Proposal'!A17</f>
        <v>16</v>
      </c>
      <c r="B25" s="17">
        <v>219601</v>
      </c>
      <c r="C25" s="17" t="str">
        <f>'ES-PT Proposal'!D17</f>
        <v>Declaration of prices and services of tourist accommodation</v>
      </c>
      <c r="D25" s="17" t="s">
        <v>432</v>
      </c>
      <c r="E25" s="17" t="s">
        <v>433</v>
      </c>
      <c r="F25" s="17" t="s">
        <v>449</v>
      </c>
      <c r="G25" s="25" t="s">
        <v>417</v>
      </c>
      <c r="H25" s="17" t="s">
        <v>242</v>
      </c>
      <c r="I25" s="47" t="s">
        <v>243</v>
      </c>
      <c r="J25" s="19" t="s">
        <v>378</v>
      </c>
      <c r="K25" s="47" t="s">
        <v>298</v>
      </c>
    </row>
    <row r="26" spans="1:16" ht="225" x14ac:dyDescent="0.25">
      <c r="A26" s="17">
        <f>'ES-PT Proposal'!A24</f>
        <v>23</v>
      </c>
      <c r="B26" s="17">
        <v>214599</v>
      </c>
      <c r="C26" s="17" t="str">
        <f>'ES-PT Proposal'!D24</f>
        <v xml:space="preserve">Change of activity in business premises </v>
      </c>
      <c r="D26" s="17" t="s">
        <v>434</v>
      </c>
      <c r="E26" s="17" t="s">
        <v>435</v>
      </c>
      <c r="F26" s="17" t="s">
        <v>449</v>
      </c>
      <c r="G26" s="25" t="s">
        <v>285</v>
      </c>
      <c r="H26" s="17" t="s">
        <v>237</v>
      </c>
      <c r="I26" s="47" t="s">
        <v>238</v>
      </c>
      <c r="J26" s="19" t="s">
        <v>374</v>
      </c>
      <c r="K26" s="47" t="s">
        <v>296</v>
      </c>
    </row>
    <row r="27" spans="1:16" ht="135" x14ac:dyDescent="0.25">
      <c r="A27" s="17">
        <f>'ES-PT Proposal'!A25</f>
        <v>24</v>
      </c>
      <c r="B27" s="17">
        <v>205767</v>
      </c>
      <c r="C27" s="17" t="str">
        <f>'ES-PT Proposal'!D25</f>
        <v>Business licence for arcade establishment</v>
      </c>
      <c r="D27" s="17" t="s">
        <v>436</v>
      </c>
      <c r="E27" s="17" t="s">
        <v>437</v>
      </c>
      <c r="F27" s="17" t="s">
        <v>449</v>
      </c>
      <c r="G27" s="25" t="s">
        <v>420</v>
      </c>
      <c r="H27" s="17" t="s">
        <v>381</v>
      </c>
      <c r="I27" s="47" t="s">
        <v>383</v>
      </c>
      <c r="J27" s="19" t="s">
        <v>384</v>
      </c>
      <c r="K27" s="47" t="s">
        <v>297</v>
      </c>
    </row>
    <row r="28" spans="1:16" ht="90" x14ac:dyDescent="0.25">
      <c r="A28" s="17">
        <f>'ES-PT Proposal'!A27</f>
        <v>26</v>
      </c>
      <c r="B28" s="17">
        <v>992253</v>
      </c>
      <c r="C28" s="17" t="str">
        <f>'ES-PT Proposal'!D27</f>
        <v>Employer registration in Social Security with tax account code</v>
      </c>
      <c r="D28" s="17" t="s">
        <v>438</v>
      </c>
      <c r="E28" s="17" t="s">
        <v>439</v>
      </c>
      <c r="F28" s="17" t="s">
        <v>449</v>
      </c>
      <c r="G28" s="25" t="s">
        <v>422</v>
      </c>
      <c r="H28" s="17" t="s">
        <v>389</v>
      </c>
      <c r="I28" s="47" t="s">
        <v>144</v>
      </c>
      <c r="J28" s="19" t="s">
        <v>390</v>
      </c>
      <c r="K28" s="47" t="s">
        <v>296</v>
      </c>
      <c r="P28" s="17" t="s">
        <v>414</v>
      </c>
    </row>
    <row r="29" spans="1:16" ht="75" x14ac:dyDescent="0.25">
      <c r="A29" s="17">
        <f>'ES-PT Proposal'!A28</f>
        <v>27</v>
      </c>
      <c r="B29" s="17">
        <v>992224</v>
      </c>
      <c r="C29" s="17" t="str">
        <f>'ES-PT Proposal'!D28</f>
        <v>Registration of workers in the General Scheme</v>
      </c>
      <c r="D29" s="17" t="s">
        <v>440</v>
      </c>
      <c r="E29" s="17" t="s">
        <v>441</v>
      </c>
      <c r="F29" s="17" t="s">
        <v>449</v>
      </c>
      <c r="G29" s="25" t="s">
        <v>422</v>
      </c>
      <c r="H29" s="17" t="s">
        <v>389</v>
      </c>
      <c r="I29" s="47" t="s">
        <v>144</v>
      </c>
      <c r="J29" s="19" t="s">
        <v>395</v>
      </c>
      <c r="K29" s="47" t="s">
        <v>412</v>
      </c>
      <c r="P29" s="17" t="s">
        <v>304</v>
      </c>
    </row>
    <row r="30" spans="1:16" ht="105" x14ac:dyDescent="0.25">
      <c r="A30" s="17">
        <f>'ES-PT Proposal'!A29</f>
        <v>28</v>
      </c>
      <c r="B30" s="17">
        <v>997800</v>
      </c>
      <c r="C30" s="17" t="str">
        <f>'ES-PT Proposal'!D29</f>
        <v>Submmition of Corporate Tax (Model 200)</v>
      </c>
      <c r="D30" s="17" t="s">
        <v>442</v>
      </c>
      <c r="E30" s="17" t="s">
        <v>443</v>
      </c>
      <c r="F30" s="17" t="s">
        <v>449</v>
      </c>
      <c r="G30" s="25" t="s">
        <v>421</v>
      </c>
      <c r="H30" s="17" t="s">
        <v>401</v>
      </c>
      <c r="I30" s="47" t="s">
        <v>144</v>
      </c>
      <c r="J30" s="19" t="s">
        <v>402</v>
      </c>
      <c r="K30" s="47" t="s">
        <v>296</v>
      </c>
      <c r="P30" s="17" t="s">
        <v>302</v>
      </c>
    </row>
    <row r="31" spans="1:16" ht="75" x14ac:dyDescent="0.25">
      <c r="A31" s="17">
        <f>'ES-PT Proposal'!A30</f>
        <v>29</v>
      </c>
      <c r="B31" s="17">
        <v>992225</v>
      </c>
      <c r="C31" s="17" t="str">
        <f>'ES-PT Proposal'!D30</f>
        <v>Withdrawal of workers in the General Scheme</v>
      </c>
      <c r="D31" s="17" t="s">
        <v>444</v>
      </c>
      <c r="E31" s="17" t="s">
        <v>445</v>
      </c>
      <c r="F31" s="17" t="s">
        <v>449</v>
      </c>
      <c r="G31" s="25" t="s">
        <v>422</v>
      </c>
      <c r="H31" s="17" t="s">
        <v>389</v>
      </c>
      <c r="I31" s="47" t="s">
        <v>144</v>
      </c>
      <c r="J31" s="19" t="s">
        <v>395</v>
      </c>
      <c r="K31" s="47" t="s">
        <v>412</v>
      </c>
      <c r="P31" s="17" t="s">
        <v>304</v>
      </c>
    </row>
    <row r="32" spans="1:16" ht="75" x14ac:dyDescent="0.25">
      <c r="A32" s="17">
        <f>'ES-PT Proposal'!A31</f>
        <v>30</v>
      </c>
      <c r="B32" s="17">
        <v>992257</v>
      </c>
      <c r="C32" s="17" t="str">
        <f>'ES-PT Proposal'!D31</f>
        <v>Payment of social security contributions for workers in the General Scheme</v>
      </c>
      <c r="D32" s="17" t="s">
        <v>446</v>
      </c>
      <c r="E32" s="17" t="s">
        <v>447</v>
      </c>
      <c r="F32" s="17" t="s">
        <v>449</v>
      </c>
      <c r="G32" s="25" t="s">
        <v>422</v>
      </c>
      <c r="H32" s="17" t="s">
        <v>389</v>
      </c>
      <c r="I32" s="47" t="s">
        <v>144</v>
      </c>
      <c r="J32" s="19" t="s">
        <v>395</v>
      </c>
      <c r="K32" s="47" t="s">
        <v>296</v>
      </c>
      <c r="P32" s="17" t="s">
        <v>304</v>
      </c>
    </row>
  </sheetData>
  <mergeCells count="4">
    <mergeCell ref="B1:G1"/>
    <mergeCell ref="H1:I1"/>
    <mergeCell ref="J1:K1"/>
    <mergeCell ref="L1:O1"/>
  </mergeCells>
  <hyperlinks>
    <hyperlink ref="J3" r:id="rId1"/>
    <hyperlink ref="L3" r:id="rId2"/>
    <hyperlink ref="J4" r:id="rId3"/>
    <hyperlink ref="J5" r:id="rId4" display="https://sede.muface.gob.es/"/>
    <hyperlink ref="L6" r:id="rId5"/>
    <hyperlink ref="J6" r:id="rId6"/>
    <hyperlink ref="J7" r:id="rId7"/>
    <hyperlink ref="J8" r:id="rId8"/>
    <hyperlink ref="J9" r:id="rId9"/>
    <hyperlink ref="J10" r:id="rId10"/>
    <hyperlink ref="J11" r:id="rId11"/>
    <hyperlink ref="J12" r:id="rId12"/>
    <hyperlink ref="J13" r:id="rId13"/>
    <hyperlink ref="J14" r:id="rId14"/>
    <hyperlink ref="J15" r:id="rId15"/>
    <hyperlink ref="J16" r:id="rId16"/>
    <hyperlink ref="J17" r:id="rId17"/>
    <hyperlink ref="J18" r:id="rId18"/>
    <hyperlink ref="J19" r:id="rId19"/>
    <hyperlink ref="J20" r:id="rId20"/>
    <hyperlink ref="J21" r:id="rId21"/>
    <hyperlink ref="J22" r:id="rId22" display="http://www.mecd.gob.es/servicios-al-ciudadano-mecd/catalogo/general/educacion/202057.html"/>
    <hyperlink ref="J23" r:id="rId23"/>
    <hyperlink ref="J24" r:id="rId24"/>
    <hyperlink ref="J26" r:id="rId25" display="http://www.madrid.org/cs/Satellite?c=CM_Tramite_FA&amp;cid=1142564112542&amp;definicion=Autorizacion+Licencia+Permiso+Carne&amp;idConsejeria=1109266187248&amp;idListConsj=1109265444710&amp;idOrganismo=1109266227580&amp;language=es&amp;pagename=ComunidadMadrid%2FEstructura&amp;sm=1109265843990&amp;tipoServicio=CM_Tramite_FA"/>
    <hyperlink ref="J25" r:id="rId26"/>
    <hyperlink ref="J27" r:id="rId27"/>
    <hyperlink ref="J28" r:id="rId28"/>
    <hyperlink ref="J29" r:id="rId29"/>
    <hyperlink ref="J30" r:id="rId30"/>
    <hyperlink ref="J31" r:id="rId31"/>
    <hyperlink ref="J32" r:id="rId32"/>
  </hyperlinks>
  <pageMargins left="0.7" right="0.7" top="0.75" bottom="0.75" header="0.3" footer="0.3"/>
  <pageSetup paperSize="9" orientation="portrait" verticalDpi="0" r:id="rId33"/>
  <legacyDrawing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SDG Proposal</vt:lpstr>
      <vt:lpstr>ES-PT Proposal</vt:lpstr>
      <vt:lpstr>ES_PS-es</vt:lpstr>
      <vt:lpstr>ES_PS-en</vt:lpstr>
    </vt:vector>
  </TitlesOfParts>
  <Company>SGAD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ROSA GUZMAN CARBONELL</dc:creator>
  <cp:lastModifiedBy>Carmen Vandeloo</cp:lastModifiedBy>
  <dcterms:created xsi:type="dcterms:W3CDTF">2018-07-20T11:24:51Z</dcterms:created>
  <dcterms:modified xsi:type="dcterms:W3CDTF">2018-08-24T15:59:48Z</dcterms:modified>
</cp:coreProperties>
</file>